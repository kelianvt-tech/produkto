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spects" sheetId="1" state="visible" r:id="rId3"/>
    <sheet name="Tracker" sheetId="2" state="visible" r:id="rId4"/>
  </sheets>
  <definedNames>
    <definedName function="false" hidden="true" localSheetId="0" name="_xlnm._FilterDatabase" vbProcedure="false">Prospects!$A$4:$O$125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<sst xmlns="http://schemas.openxmlformats.org/spreadsheetml/2006/main" count="582" uniqueCount="393">
  <si>
    <t xml:space="preserve">AEO outreach — Shopify founders who have done podcast interviews</t>
  </si>
  <si>
    <t xml:space="preserve">Every brand below is a Shopify merchant whose founder sat for a long-form interview — i.e. has already said yes to a stranger asking questions. Yellow = to fill in. Blue text = you type it. Run prospecting/enrich.py to auto-fill Domain, Instagram and Email.</t>
  </si>
  <si>
    <t xml:space="preserve">#</t>
  </si>
  <si>
    <t xml:space="preserve">Brand</t>
  </si>
  <si>
    <t xml:space="preserve">Founder</t>
  </si>
  <si>
    <t xml:space="preserve">Domain</t>
  </si>
  <si>
    <t xml:space="preserve">Instagram</t>
  </si>
  <si>
    <t xml:space="preserve">Email</t>
  </si>
  <si>
    <t xml:space="preserve">Email verified?</t>
  </si>
  <si>
    <t xml:space="preserve">Channel</t>
  </si>
  <si>
    <t xml:space="preserve">Status</t>
  </si>
  <si>
    <t xml:space="preserve">Date contacted</t>
  </si>
  <si>
    <t xml:space="preserve">Replied?</t>
  </si>
  <si>
    <t xml:space="preserve">Hook / what they said</t>
  </si>
  <si>
    <t xml:space="preserve">Category</t>
  </si>
  <si>
    <t xml:space="preserve">Size signal</t>
  </si>
  <si>
    <t xml:space="preserve">Episode URL</t>
  </si>
  <si>
    <t xml:space="preserve">Avocado Green</t>
  </si>
  <si>
    <t xml:space="preserve">Not started</t>
  </si>
  <si>
    <t xml:space="preserve">mattresses</t>
  </si>
  <si>
    <t xml:space="preserve">9 figures</t>
  </si>
  <si>
    <t xml:space="preserve">https://www.shopify.com/blog/avocado-green-brands-family-business-to-9-figures</t>
  </si>
  <si>
    <t xml:space="preserve">Magnetic Me</t>
  </si>
  <si>
    <t xml:space="preserve">baby apparel</t>
  </si>
  <si>
    <t xml:space="preserve">https://www.shopify.com/blog/magnetic-me-baby-brand-built-for-success</t>
  </si>
  <si>
    <t xml:space="preserve">OSEA Malibu</t>
  </si>
  <si>
    <t xml:space="preserve">skincare</t>
  </si>
  <si>
    <t xml:space="preserve">30 years</t>
  </si>
  <si>
    <t xml:space="preserve">https://www.shopify.com/blog/osea-malibu-30-year-skincare-legacy-brand</t>
  </si>
  <si>
    <t xml:space="preserve">Herman Scheer</t>
  </si>
  <si>
    <t xml:space="preserve">brand agency</t>
  </si>
  <si>
    <t xml:space="preserve">https://www.shopify.com/blog/herman-scheer-designs-products-that-stand-out</t>
  </si>
  <si>
    <t xml:space="preserve">Prosperity Market</t>
  </si>
  <si>
    <t xml:space="preserve">food</t>
  </si>
  <si>
    <t xml:space="preserve">https://www.shopify.com/blog/prosperity-market-hungry-for-change</t>
  </si>
  <si>
    <t xml:space="preserve">437</t>
  </si>
  <si>
    <t xml:space="preserve">swimwear</t>
  </si>
  <si>
    <t xml:space="preserve">8 figures</t>
  </si>
  <si>
    <t xml:space="preserve">https://www.shopify.com/blog/437-simplify-to-scale</t>
  </si>
  <si>
    <t xml:space="preserve">Shock Surplus</t>
  </si>
  <si>
    <t xml:space="preserve">Sean Reyes</t>
  </si>
  <si>
    <t xml:space="preserve">https://www.shocksurplus.com</t>
  </si>
  <si>
    <t xml:space="preserve">Built an education-first business because every shock absorber looks identical</t>
  </si>
  <si>
    <t xml:space="preserve">auto parts</t>
  </si>
  <si>
    <t xml:space="preserve">https://www.shopify.com/blog/shock-surplus-profit-over-revenue</t>
  </si>
  <si>
    <t xml:space="preserve">Fly By Jing</t>
  </si>
  <si>
    <t xml:space="preserve">https://www.shopify.com/blog/fly-by-jing-recipe-for-success</t>
  </si>
  <si>
    <t xml:space="preserve">Arey</t>
  </si>
  <si>
    <t xml:space="preserve">haircare</t>
  </si>
  <si>
    <t xml:space="preserve">https://www.shopify.com/blog/arey-growing-and-disrupting-the-gray-hair-market</t>
  </si>
  <si>
    <t xml:space="preserve">Loftie</t>
  </si>
  <si>
    <t xml:space="preserve">Matthew Hassett</t>
  </si>
  <si>
    <t xml:space="preserve">https://byloftie.com</t>
  </si>
  <si>
    <t xml:space="preserve">byloftie</t>
  </si>
  <si>
    <t xml:space="preserve">info@byloftie.com</t>
  </si>
  <si>
    <t xml:space="preserve">Sold 200,000 clocks with no VC, tracking contribution margin</t>
  </si>
  <si>
    <t xml:space="preserve">electronics</t>
  </si>
  <si>
    <t xml:space="preserve">200k units bootstrapped</t>
  </si>
  <si>
    <t xml:space="preserve">https://www.shopify.com/blog/how-loftie-became-the-internet-s-favorite-alarm-clock-without-paid-press</t>
  </si>
  <si>
    <t xml:space="preserve">Hugz</t>
  </si>
  <si>
    <t xml:space="preserve">Lexi Hensler</t>
  </si>
  <si>
    <t xml:space="preserve">apparel</t>
  </si>
  <si>
    <t xml:space="preserve">creator-led</t>
  </si>
  <si>
    <t xml:space="preserve">https://www.shopify.com/blog/hugz-creator-led-mental-health-brand</t>
  </si>
  <si>
    <t xml:space="preserve">Lone Fox</t>
  </si>
  <si>
    <t xml:space="preserve">home goods</t>
  </si>
  <si>
    <t xml:space="preserve">https://www.shopify.com/blog/lone-fox-inventory-and-content-strategies-that-sell</t>
  </si>
  <si>
    <t xml:space="preserve">Supreme Ecom</t>
  </si>
  <si>
    <t xml:space="preserve">education</t>
  </si>
  <si>
    <t xml:space="preserve">https://www.shopify.com/blog/supreme-ecom-top-tips-for-dropshipping-success</t>
  </si>
  <si>
    <t xml:space="preserve">Pistakio</t>
  </si>
  <si>
    <t xml:space="preserve">https://www.shopify.com/blog/pistakio-community-led-product-development</t>
  </si>
  <si>
    <t xml:space="preserve">Flamingo Estate</t>
  </si>
  <si>
    <t xml:space="preserve">Aaron Harvey</t>
  </si>
  <si>
    <t xml:space="preserve">home and food</t>
  </si>
  <si>
    <t xml:space="preserve">https://www.shopify.com/blog/flamingo-estate-creative-vision-at-scale</t>
  </si>
  <si>
    <t xml:space="preserve">The Turmeric Co</t>
  </si>
  <si>
    <t xml:space="preserve">wellness</t>
  </si>
  <si>
    <t xml:space="preserve">https://www.shopify.com/blog/the-turmeric-co-building-a-formula-for-success</t>
  </si>
  <si>
    <t xml:space="preserve">Bedi Studios</t>
  </si>
  <si>
    <t xml:space="preserve">fashion</t>
  </si>
  <si>
    <t xml:space="preserve">https://www.shopify.com/blog/bedi-studios-second-chance-for-sustainable-fashion</t>
  </si>
  <si>
    <t xml:space="preserve">Good Girl Snacks</t>
  </si>
  <si>
    <t xml:space="preserve">https://www.shopify.com/blog/good-girl-snacks-zero-dollar-customer-acquisition</t>
  </si>
  <si>
    <t xml:space="preserve">By Rosie Jane</t>
  </si>
  <si>
    <t xml:space="preserve">Rosie Johnston</t>
  </si>
  <si>
    <t xml:space="preserve">fragrance</t>
  </si>
  <si>
    <t xml:space="preserve">https://www.shopify.com/blog/by-rosie-jane-great-product-is-your-best-marketing-strategy</t>
  </si>
  <si>
    <t xml:space="preserve">My Two Brows</t>
  </si>
  <si>
    <t xml:space="preserve">beauty</t>
  </si>
  <si>
    <t xml:space="preserve">1M sets</t>
  </si>
  <si>
    <t xml:space="preserve">https://www.shopify.com/blog/my-two-brows-life-changing-niche-brand</t>
  </si>
  <si>
    <t xml:space="preserve">A-Frame Brands</t>
  </si>
  <si>
    <t xml:space="preserve">personal care</t>
  </si>
  <si>
    <t xml:space="preserve">https://www.shopify.com/blog/a-frame-building-celebrity-backed-brands-that-sell</t>
  </si>
  <si>
    <t xml:space="preserve">Heaven Mayhem</t>
  </si>
  <si>
    <t xml:space="preserve">Pia Mance</t>
  </si>
  <si>
    <t xml:space="preserve">jewellery</t>
  </si>
  <si>
    <t xml:space="preserve">$10M</t>
  </si>
  <si>
    <t xml:space="preserve">https://www.shopify.com/blog/heaven-mayhem-social-strategy</t>
  </si>
  <si>
    <t xml:space="preserve">Hart Jewelry</t>
  </si>
  <si>
    <t xml:space="preserve">$20M</t>
  </si>
  <si>
    <t xml:space="preserve">https://www.shopify.com/blog/hart-charming-its-way-to-20million</t>
  </si>
  <si>
    <t xml:space="preserve">Hedley &amp; Bennett</t>
  </si>
  <si>
    <t xml:space="preserve">aprons and kitchen</t>
  </si>
  <si>
    <t xml:space="preserve">https://www.shopify.com/blog/hedley-and-bennett-scaling-through-product-development-with-customers</t>
  </si>
  <si>
    <t xml:space="preserve">Curious Elixirs</t>
  </si>
  <si>
    <t xml:space="preserve">non-alcoholic drinks</t>
  </si>
  <si>
    <t xml:space="preserve">https://www.shopify.com/blog/curious-elixirs-raising-the-bar-for-non-alcoholic-beverages</t>
  </si>
  <si>
    <t xml:space="preserve">Beautyblender</t>
  </si>
  <si>
    <t xml:space="preserve">beauty tools</t>
  </si>
  <si>
    <t xml:space="preserve">https://www.shopify.com/blog/beauty-blender-build-brand-recognition</t>
  </si>
  <si>
    <t xml:space="preserve">Pasta Life</t>
  </si>
  <si>
    <t xml:space="preserve">https://www.shopify.com/blog/pasta-life-stirring-up-a-stainable-straw-brand</t>
  </si>
  <si>
    <t xml:space="preserve">Sonsie Skin</t>
  </si>
  <si>
    <t xml:space="preserve">https://www.shopify.com/blog/sonsie-skin-sustainable-product-word-of-mouth-growth</t>
  </si>
  <si>
    <t xml:space="preserve">Cotto</t>
  </si>
  <si>
    <t xml:space="preserve">Kendall Kransdorf</t>
  </si>
  <si>
    <t xml:space="preserve">homeware</t>
  </si>
  <si>
    <t xml:space="preserve">https://www.shopify.com/blog/cotto-sell-out-your-brand-at-launch-using-social-media-marketing</t>
  </si>
  <si>
    <t xml:space="preserve">Golden West Boots</t>
  </si>
  <si>
    <t xml:space="preserve">footwear</t>
  </si>
  <si>
    <t xml:space="preserve">https://www.shopify.com/blog/golden-west-boots-customer-insights-and-trend-spotting</t>
  </si>
  <si>
    <t xml:space="preserve">Wild Rye</t>
  </si>
  <si>
    <t xml:space="preserve">outdoor apparel</t>
  </si>
  <si>
    <t xml:space="preserve">100+ retailers</t>
  </si>
  <si>
    <t xml:space="preserve">https://www.shopify.com/blog/wild-rye-building-community-and-purpose</t>
  </si>
  <si>
    <t xml:space="preserve">OUAI</t>
  </si>
  <si>
    <t xml:space="preserve">https://www.shopify.com/blog/ouai-creative-copy-that-engages-customers</t>
  </si>
  <si>
    <t xml:space="preserve">Manscaped</t>
  </si>
  <si>
    <t xml:space="preserve">Paul Tran</t>
  </si>
  <si>
    <t xml:space="preserve">grooming</t>
  </si>
  <si>
    <t xml:space="preserve">https://www.shopify.com/blog/manscaped-get-market-ready-and-thrive</t>
  </si>
  <si>
    <t xml:space="preserve">De Soi</t>
  </si>
  <si>
    <t xml:space="preserve">Scout Brisson</t>
  </si>
  <si>
    <t xml:space="preserve">https://www.shopify.com/blog/de-soi-product-development-and-sampling-advice</t>
  </si>
  <si>
    <t xml:space="preserve">Bashify</t>
  </si>
  <si>
    <t xml:space="preserve">party supplies</t>
  </si>
  <si>
    <t xml:space="preserve">six figures</t>
  </si>
  <si>
    <t xml:space="preserve">https://www.shopify.com/blog/bashify-from-side-hustle-to-six-figures</t>
  </si>
  <si>
    <t xml:space="preserve">T3 Micro</t>
  </si>
  <si>
    <t xml:space="preserve">https://www.shopify.com/blog/t3-micro-new-product-category</t>
  </si>
  <si>
    <t xml:space="preserve">Ergatta</t>
  </si>
  <si>
    <t xml:space="preserve">Tom Aulet</t>
  </si>
  <si>
    <t xml:space="preserve">fitness equipment</t>
  </si>
  <si>
    <t xml:space="preserve">https://www.shopify.com/blog/ergatta-gamified-fitness-for-the-win</t>
  </si>
  <si>
    <t xml:space="preserve">Canyon Coffee</t>
  </si>
  <si>
    <t xml:space="preserve">coffee</t>
  </si>
  <si>
    <t xml:space="preserve">7 figures</t>
  </si>
  <si>
    <t xml:space="preserve">https://www.shopify.com/blog/canyon-coffee-getting-into-retail</t>
  </si>
  <si>
    <t xml:space="preserve">Scarlett &amp; Chase</t>
  </si>
  <si>
    <t xml:space="preserve">https://www.shopify.com/blog/scarlett-chase-footwear-pain-points-turning-profits</t>
  </si>
  <si>
    <t xml:space="preserve">Revenge Of</t>
  </si>
  <si>
    <t xml:space="preserve">comics</t>
  </si>
  <si>
    <t xml:space="preserve">https://www.shopify.com/blog/revenge-of-community-growth-strategies-that-drive-sales</t>
  </si>
  <si>
    <t xml:space="preserve">Elix Healing</t>
  </si>
  <si>
    <t xml:space="preserve">supplements</t>
  </si>
  <si>
    <t xml:space="preserve">https://www.shopify.com/blog/elix-chinese-medicine-modern-brand</t>
  </si>
  <si>
    <t xml:space="preserve">Salt &amp; Stone</t>
  </si>
  <si>
    <t xml:space="preserve">https://www.shopify.com/blog/salt-and-stone-how-to-attract-retailers</t>
  </si>
  <si>
    <t xml:space="preserve">Harlem Candle Co</t>
  </si>
  <si>
    <t xml:space="preserve">Teri Johnson</t>
  </si>
  <si>
    <t xml:space="preserve">candles</t>
  </si>
  <si>
    <t xml:space="preserve">https://www.shopify.com/blog/harlem-candle-co-scent-of-success</t>
  </si>
  <si>
    <t xml:space="preserve">Actively Black</t>
  </si>
  <si>
    <t xml:space="preserve">Lanny Smith</t>
  </si>
  <si>
    <t xml:space="preserve">$2M</t>
  </si>
  <si>
    <t xml:space="preserve">https://www.shopify.com/blog/actively-black-breakdown-for-building-a-brand</t>
  </si>
  <si>
    <t xml:space="preserve">Taza Chocolate</t>
  </si>
  <si>
    <t xml:space="preserve">https://www.shopify.com/blog/taza-chocolate-successfully-going-against-the-grain</t>
  </si>
  <si>
    <t xml:space="preserve">Thousand</t>
  </si>
  <si>
    <t xml:space="preserve">helmets</t>
  </si>
  <si>
    <t xml:space="preserve">https://www.shopify.com/blog/thousand-helmet-beating-on-the-competition</t>
  </si>
  <si>
    <t xml:space="preserve">Shelter Skin</t>
  </si>
  <si>
    <t xml:space="preserve">https://www.shopify.com/blog/shelter-skin-scaling-naturally-for-success</t>
  </si>
  <si>
    <t xml:space="preserve">Plant Material</t>
  </si>
  <si>
    <t xml:space="preserve">plants</t>
  </si>
  <si>
    <t xml:space="preserve">https://www.shopify.com/blog/plant-material-inventory-management-advice</t>
  </si>
  <si>
    <t xml:space="preserve">MiJa Books</t>
  </si>
  <si>
    <t xml:space="preserve">books</t>
  </si>
  <si>
    <t xml:space="preserve">https://www.shopify.com/blog/mija-books-rewriting-the-business-of-books</t>
  </si>
  <si>
    <t xml:space="preserve">Set Active</t>
  </si>
  <si>
    <t xml:space="preserve">activewear</t>
  </si>
  <si>
    <t xml:space="preserve">https://www.shopify.com/blog/set-active-inventory-management</t>
  </si>
  <si>
    <t xml:space="preserve">Beekman 1802</t>
  </si>
  <si>
    <t xml:space="preserve">$92M</t>
  </si>
  <si>
    <t xml:space="preserve">https://www.shopify.com/blog/beekman-1802-from-farm-to-fortune</t>
  </si>
  <si>
    <t xml:space="preserve">Peak Design</t>
  </si>
  <si>
    <t xml:space="preserve">camera gear</t>
  </si>
  <si>
    <t xml:space="preserve">$60M Kickstarter</t>
  </si>
  <si>
    <t xml:space="preserve">https://www.shopify.com/blog/peak-design-kickstarter-tips-to-raise-multi-millions</t>
  </si>
  <si>
    <t xml:space="preserve">Pashion Footwear</t>
  </si>
  <si>
    <t xml:space="preserve">https://www.shopify.com/blog/pashion-footwear-turning-pain-into-profits</t>
  </si>
  <si>
    <t xml:space="preserve">Piecework Puzzles</t>
  </si>
  <si>
    <t xml:space="preserve">puzzles</t>
  </si>
  <si>
    <t xml:space="preserve">https://www.shopify.com/blog/piecework-puzzles-build-an-empire-with-a-day-job</t>
  </si>
  <si>
    <t xml:space="preserve">Ridge</t>
  </si>
  <si>
    <t xml:space="preserve">wallets</t>
  </si>
  <si>
    <t xml:space="preserve">https://www.shopify.com/blog/ridge-wallets-using-ai-to-grow-revenue</t>
  </si>
  <si>
    <t xml:space="preserve">Bold Bean Co</t>
  </si>
  <si>
    <t xml:space="preserve">250% growth</t>
  </si>
  <si>
    <t xml:space="preserve">https://www.shopify.com/blog/boldbeanco-rebranding-beans-for-good</t>
  </si>
  <si>
    <t xml:space="preserve">Elavi</t>
  </si>
  <si>
    <t xml:space="preserve">https://www.shopify.com/blog/elavi-retail-pitch-sucess</t>
  </si>
  <si>
    <t xml:space="preserve">MALK</t>
  </si>
  <si>
    <t xml:space="preserve">beverages</t>
  </si>
  <si>
    <t xml:space="preserve">$100M</t>
  </si>
  <si>
    <t xml:space="preserve">https://www.shopify.com/blog/malk-scaling-plant-based-milk-to-nine-figures</t>
  </si>
  <si>
    <t xml:space="preserve">Province of Canada</t>
  </si>
  <si>
    <t xml:space="preserve">https://www.shopify.com/blog/province-of-canada-organic-growth-playbook</t>
  </si>
  <si>
    <t xml:space="preserve">Solgaard</t>
  </si>
  <si>
    <t xml:space="preserve">luggage</t>
  </si>
  <si>
    <t xml:space="preserve">https://www.shopify.com/blog/the-founder-who-turned-plastic-waste-into-a-multimillion-dollar-travel-brand</t>
  </si>
  <si>
    <t xml:space="preserve">Unbound Merino</t>
  </si>
  <si>
    <t xml:space="preserve">$100M lifetime</t>
  </si>
  <si>
    <t xml:space="preserve">https://www.shopify.com/blog/unbound-merino-scaling-to-one-hundred-million-lifetime-revenue</t>
  </si>
  <si>
    <t xml:space="preserve">Larroude</t>
  </si>
  <si>
    <t xml:space="preserve">https://www.shopify.com/blog/larroude-bootstrapped-to-footwear-brand-of-the-year</t>
  </si>
  <si>
    <t xml:space="preserve">Sonya Lee</t>
  </si>
  <si>
    <t xml:space="preserve">handbags</t>
  </si>
  <si>
    <t xml:space="preserve">https://www.shopify.com/blog/sonya-lee-writing-a-business-plan</t>
  </si>
  <si>
    <t xml:space="preserve">Free Soul</t>
  </si>
  <si>
    <t xml:space="preserve">https://www.shopify.com/blog/free-soul-creative-customer-aquisition-strategies</t>
  </si>
  <si>
    <t xml:space="preserve">Numi</t>
  </si>
  <si>
    <t xml:space="preserve">Michelle Shemilt</t>
  </si>
  <si>
    <t xml:space="preserve">$1M</t>
  </si>
  <si>
    <t xml:space="preserve">https://www.shopify.com/blog/numi-biggest-insecurity-turns-into-million-dollar-brand</t>
  </si>
  <si>
    <t xml:space="preserve">Stratus</t>
  </si>
  <si>
    <t xml:space="preserve">10k orders</t>
  </si>
  <si>
    <t xml:space="preserve">https://www.shopify.com/blog/stratus-passion-meets-performance</t>
  </si>
  <si>
    <t xml:space="preserve">Chandler Honey</t>
  </si>
  <si>
    <t xml:space="preserve">https://www.shopify.com/blog/chandler-honey-automate-your-business-to-run-without-you</t>
  </si>
  <si>
    <t xml:space="preserve">Kopari Beauty</t>
  </si>
  <si>
    <t xml:space="preserve">https://www.shopify.com/blog/kopari-beauty-influencer-marketing-strategy</t>
  </si>
  <si>
    <t xml:space="preserve">Uncle Studios</t>
  </si>
  <si>
    <t xml:space="preserve">https://www.shopify.com/blog/uncle-studios-influencer-brand-makes-perfect-tshirt</t>
  </si>
  <si>
    <t xml:space="preserve">Arka</t>
  </si>
  <si>
    <t xml:space="preserve">packaging</t>
  </si>
  <si>
    <t xml:space="preserve">https://www.shopify.com/blog/arka-packaging-is-your-biggest-marketing-opportunity</t>
  </si>
  <si>
    <t xml:space="preserve">Issues Magazine Shop</t>
  </si>
  <si>
    <t xml:space="preserve">magazines</t>
  </si>
  <si>
    <t xml:space="preserve">https://www.shopify.com/blog/issues-magazine-shop-funding-advice</t>
  </si>
  <si>
    <t xml:space="preserve">D'IYANU</t>
  </si>
  <si>
    <t xml:space="preserve">https://www.shopify.com/blog/diyanu-west-african-style-for-success</t>
  </si>
  <si>
    <t xml:space="preserve">Odd Bunch</t>
  </si>
  <si>
    <t xml:space="preserve">groceries</t>
  </si>
  <si>
    <t xml:space="preserve">100k customers</t>
  </si>
  <si>
    <t xml:space="preserve">https://www.shopify.com/blog/odd-bunch-food-waste-customer-growth-six-figures</t>
  </si>
  <si>
    <t xml:space="preserve">Still Here</t>
  </si>
  <si>
    <t xml:space="preserve">denim</t>
  </si>
  <si>
    <t xml:space="preserve">bootstrapped</t>
  </si>
  <si>
    <t xml:space="preserve">https://www.shopify.com/blog/still-here-fashioning-success</t>
  </si>
  <si>
    <t xml:space="preserve">NUDESTIX</t>
  </si>
  <si>
    <t xml:space="preserve">https://www.shopify.com/blog/nudestix-celebrity-partnership-deal-structure</t>
  </si>
  <si>
    <t xml:space="preserve">DedCool</t>
  </si>
  <si>
    <t xml:space="preserve">Carina Chaz</t>
  </si>
  <si>
    <t xml:space="preserve">solo founder</t>
  </si>
  <si>
    <t xml:space="preserve">https://www.shopify.com/blog/dedcool-solo-founder-advice-for-scaling</t>
  </si>
  <si>
    <t xml:space="preserve">Bluboho</t>
  </si>
  <si>
    <t xml:space="preserve">Natalie Westlake</t>
  </si>
  <si>
    <t xml:space="preserve">https://www.shopify.com/blog/bluboho-store-opening-check-list-and-strategies</t>
  </si>
  <si>
    <t xml:space="preserve">Goodee</t>
  </si>
  <si>
    <t xml:space="preserve">https://www.shopify.com/blog/goodee-curating-purpose-and-profits</t>
  </si>
  <si>
    <t xml:space="preserve">Spatula Foods</t>
  </si>
  <si>
    <t xml:space="preserve">Wallace Wong</t>
  </si>
  <si>
    <t xml:space="preserve">https://www.shopify.com/blog/spatula-foods-six-pack-chef-networking-tips</t>
  </si>
  <si>
    <t xml:space="preserve">Three Ships</t>
  </si>
  <si>
    <t xml:space="preserve">$8.5M</t>
  </si>
  <si>
    <t xml:space="preserve">https://www.shopify.com/blog/three-ships-reaching-one-million-in-revenue</t>
  </si>
  <si>
    <t xml:space="preserve">Clubhouse Skin</t>
  </si>
  <si>
    <t xml:space="preserve">https://www.shopify.com/blog/clubhouse-skin-disruption-by-design</t>
  </si>
  <si>
    <t xml:space="preserve">Knix</t>
  </si>
  <si>
    <t xml:space="preserve">exit</t>
  </si>
  <si>
    <t xml:space="preserve">https://www.shopify.com/blog/knix-changing-how-women-are-marketed-million-dollar-exit</t>
  </si>
  <si>
    <t xml:space="preserve">Lhamour</t>
  </si>
  <si>
    <t xml:space="preserve">https://www.shopify.com/blog/lhamour-first-organic-mongolian-skincare-brand</t>
  </si>
  <si>
    <t xml:space="preserve">Aerflo</t>
  </si>
  <si>
    <t xml:space="preserve">$10M raise</t>
  </si>
  <si>
    <t xml:space="preserve">https://www.shopify.com/blog/aerflo-shaking-up-the-beverage-industry</t>
  </si>
  <si>
    <t xml:space="preserve">Jaxon Lane</t>
  </si>
  <si>
    <t xml:space="preserve">https://www.shopify.com/blog/jaxon-lane-product-development-and-public-relations-tips</t>
  </si>
  <si>
    <t xml:space="preserve">Otherhalf Studio</t>
  </si>
  <si>
    <t xml:space="preserve">design</t>
  </si>
  <si>
    <t xml:space="preserve">https://www.shopify.com/blog/otherhalf-studio-designing-successfully</t>
  </si>
  <si>
    <t xml:space="preserve">HexClad</t>
  </si>
  <si>
    <t xml:space="preserve">Danny Winer</t>
  </si>
  <si>
    <t xml:space="preserve">cookware</t>
  </si>
  <si>
    <t xml:space="preserve">https://www.shopify.com/blog/hexclad-cookware-success-story</t>
  </si>
  <si>
    <t xml:space="preserve">Dossier</t>
  </si>
  <si>
    <t xml:space="preserve">Sergio Tache</t>
  </si>
  <si>
    <t xml:space="preserve">https://www.shopify.com/blog/dossier-affordable-luxury-accessible-perfume-pricing</t>
  </si>
  <si>
    <t xml:space="preserve">Copper Cow Coffee</t>
  </si>
  <si>
    <t xml:space="preserve">https://www.shopify.com/blog/copper-cow-coffee-success-from-the-ground-up</t>
  </si>
  <si>
    <t xml:space="preserve">Life Is Good</t>
  </si>
  <si>
    <t xml:space="preserve">$150M</t>
  </si>
  <si>
    <t xml:space="preserve">https://www.shopify.com/blog/life-is-good-optimism-on-demand</t>
  </si>
  <si>
    <t xml:space="preserve">Liquid Death</t>
  </si>
  <si>
    <t xml:space="preserve">$1B</t>
  </si>
  <si>
    <t xml:space="preserve">https://www.shopify.com/blog/liquid-death-comedy-marketing-billion-dollar-brand</t>
  </si>
  <si>
    <t xml:space="preserve">Undefined Beauty</t>
  </si>
  <si>
    <t xml:space="preserve">https://www.shopify.com/blog/undefinedbeauty-inclusive-by-design</t>
  </si>
  <si>
    <t xml:space="preserve">Grin27</t>
  </si>
  <si>
    <t xml:space="preserve">cycling</t>
  </si>
  <si>
    <t xml:space="preserve">https://www.shopify.com/blog/grin27-leading-with-authenticity</t>
  </si>
  <si>
    <t xml:space="preserve">WagWell</t>
  </si>
  <si>
    <t xml:space="preserve">William Smolen</t>
  </si>
  <si>
    <t xml:space="preserve">pet wellness</t>
  </si>
  <si>
    <t xml:space="preserve">https://www.shopify.com/blog/wagwell-pet-wellness-human-beauty-standards</t>
  </si>
  <si>
    <t xml:space="preserve">Rocky's Matcha</t>
  </si>
  <si>
    <t xml:space="preserve">Rocky Xu</t>
  </si>
  <si>
    <t xml:space="preserve">https://www.shopify.com/blog/rockys-matcha-it-brand-at-a-9-5</t>
  </si>
  <si>
    <t xml:space="preserve">Guru Energy</t>
  </si>
  <si>
    <t xml:space="preserve">https://www.shopify.com/blog/guru-energy-customer-segmentation-marketing</t>
  </si>
  <si>
    <t xml:space="preserve">Sock Candy</t>
  </si>
  <si>
    <t xml:space="preserve">hosiery</t>
  </si>
  <si>
    <t xml:space="preserve">https://www.shopify.com/blog/sock-candy-reddit-and-creative-marketing-tips</t>
  </si>
  <si>
    <t xml:space="preserve">Citizens of Soil</t>
  </si>
  <si>
    <t xml:space="preserve">olive oil</t>
  </si>
  <si>
    <t xml:space="preserve">https://www.shopify.com/blog/citizens-of-soil-growing-profits-and-purpose</t>
  </si>
  <si>
    <t xml:space="preserve">Uprisers</t>
  </si>
  <si>
    <t xml:space="preserve">https://www.shopify.com/blog/uprisers-social-impact</t>
  </si>
  <si>
    <t xml:space="preserve">Truvelle</t>
  </si>
  <si>
    <t xml:space="preserve">bridal</t>
  </si>
  <si>
    <t xml:space="preserve">https://www.shopify.com/blog/truvelle-scaling-sustainable-bridal-fashion-brands</t>
  </si>
  <si>
    <t xml:space="preserve">Hiyo</t>
  </si>
  <si>
    <t xml:space="preserve">$1M pre-product</t>
  </si>
  <si>
    <t xml:space="preserve">https://www.shopify.com/blog/hiyo-raise-1-million-before-having-products</t>
  </si>
  <si>
    <t xml:space="preserve">Togethxr</t>
  </si>
  <si>
    <t xml:space="preserve">https://www.shopify.com/blog/togethxr-viral-merchandise</t>
  </si>
  <si>
    <t xml:space="preserve">Bala</t>
  </si>
  <si>
    <t xml:space="preserve">https://www.shopify.com/blog/bala-strategic-debt-fitness-empire</t>
  </si>
  <si>
    <t xml:space="preserve">Fresh Sends</t>
  </si>
  <si>
    <t xml:space="preserve">flowers</t>
  </si>
  <si>
    <t xml:space="preserve">https://www.shopify.com/blog/fresh-sends-floral-delivery-customization-in-business</t>
  </si>
  <si>
    <t xml:space="preserve">Birdy Grey</t>
  </si>
  <si>
    <t xml:space="preserve">https://www.shopify.com/blog/building-a-100m-brand-one-bridesmaid-dress-at-a-time-22</t>
  </si>
  <si>
    <t xml:space="preserve">IQBAR</t>
  </si>
  <si>
    <t xml:space="preserve">https://www.shopify.com/blog/iqbar-supply-chain-and-profitability-tips</t>
  </si>
  <si>
    <t xml:space="preserve">P.F. Candle Co</t>
  </si>
  <si>
    <t xml:space="preserve">https://www.shopify.com/blog/pf-candle-diy</t>
  </si>
  <si>
    <t xml:space="preserve">Zero Waste Store</t>
  </si>
  <si>
    <t xml:space="preserve">household</t>
  </si>
  <si>
    <t xml:space="preserve">https://www.shopify.com/blog/zero-waste-store-sustainability-seo-growth</t>
  </si>
  <si>
    <t xml:space="preserve">Tower 28</t>
  </si>
  <si>
    <t xml:space="preserve">Amy Liu</t>
  </si>
  <si>
    <t xml:space="preserve">https://www.shopify.com/blog/tower28-beauty-building-credibility-in-business</t>
  </si>
  <si>
    <t xml:space="preserve">Salt &amp; Sundry</t>
  </si>
  <si>
    <t xml:space="preserve">https://www.shopify.com/blog/salt-and-sundry-retail</t>
  </si>
  <si>
    <t xml:space="preserve">True Classic</t>
  </si>
  <si>
    <t xml:space="preserve">Ryan Bartlett</t>
  </si>
  <si>
    <t xml:space="preserve">https://www.shopify.com/blog/true-classic-tshirt-business-content-marketing-strategies</t>
  </si>
  <si>
    <t xml:space="preserve">Campus Ink</t>
  </si>
  <si>
    <t xml:space="preserve">merch</t>
  </si>
  <si>
    <t xml:space="preserve">https://www.shopify.com/blog/campus-ink-nil-merchandise</t>
  </si>
  <si>
    <t xml:space="preserve">Diaspora Co</t>
  </si>
  <si>
    <t xml:space="preserve">spices</t>
  </si>
  <si>
    <t xml:space="preserve">https://www.shopify.com/blog/diaspora-co-changing-the-spice-trade</t>
  </si>
  <si>
    <t xml:space="preserve">Original Duckhead</t>
  </si>
  <si>
    <t xml:space="preserve">umbrellas</t>
  </si>
  <si>
    <t xml:space="preserve">https://www.shopify.com/blog/original-duckhead-retail-strategy-breaking-into-the-market</t>
  </si>
  <si>
    <t xml:space="preserve">Waterboy</t>
  </si>
  <si>
    <t xml:space="preserve">hydration</t>
  </si>
  <si>
    <t xml:space="preserve">$700 launch</t>
  </si>
  <si>
    <t xml:space="preserve">https://www.shopify.com/blog/waterboy-hydration-strategic-focus</t>
  </si>
  <si>
    <t xml:space="preserve">Unsolicited Plant Talks</t>
  </si>
  <si>
    <t xml:space="preserve">https://www.shopify.com/blog/unsolicited-plant-talks-hobby-to-business</t>
  </si>
  <si>
    <t xml:space="preserve">My Skin Feels</t>
  </si>
  <si>
    <t xml:space="preserve">https://www.shopify.com/blog/my-skin-feels-make-sustainability-fun</t>
  </si>
  <si>
    <t xml:space="preserve">NAADAM</t>
  </si>
  <si>
    <t xml:space="preserve">cashmere</t>
  </si>
  <si>
    <t xml:space="preserve">https://www.shopify.com/blog/naadam-financing</t>
  </si>
  <si>
    <t xml:space="preserve">Kindred Label</t>
  </si>
  <si>
    <t xml:space="preserve">baby</t>
  </si>
  <si>
    <t xml:space="preserve">https://www.shopify.com/blog/kindred-label-patent-your-innovative-product</t>
  </si>
  <si>
    <t xml:space="preserve">Reverie</t>
  </si>
  <si>
    <t xml:space="preserve">https://www.shopify.com/blog/reverie-affiliate-marketing-sephora-success</t>
  </si>
  <si>
    <t xml:space="preserve">First Day</t>
  </si>
  <si>
    <t xml:space="preserve">Alice Li</t>
  </si>
  <si>
    <t xml:space="preserve">vitamins</t>
  </si>
  <si>
    <t xml:space="preserve">https://www.shopify.com/blog/first-day-values</t>
  </si>
  <si>
    <t xml:space="preserve">Progress</t>
  </si>
  <si>
    <t xml:space="preserve">Metric</t>
  </si>
  <si>
    <t xml:space="preserve">Value</t>
  </si>
  <si>
    <t xml:space="preserve">Brands in list</t>
  </si>
  <si>
    <t xml:space="preserve">Founder name known</t>
  </si>
  <si>
    <t xml:space="preserve">Contact found</t>
  </si>
  <si>
    <t xml:space="preserve">Contacted</t>
  </si>
  <si>
    <t xml:space="preserve">Replied</t>
  </si>
  <si>
    <t xml:space="preserve">Reply rate</t>
  </si>
  <si>
    <t xml:space="preserve">Target</t>
  </si>
  <si>
    <t xml:space="preserve">15 conversations held</t>
  </si>
  <si>
    <t xml:space="preserve">20 cold audits sent</t>
  </si>
  <si>
    <t xml:space="preserve">Judge this batch on conversations and audits requested, not followers or opens. If 20 sends produce zero replies the problem is the offer or the ICP, not the volume.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</si>
</sst>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F4F4F"/>
        <bgColor rgb="FF555555"/>
      </patternFill>
    </fill>
    <fill>
      <patternFill patternType="solid">
        <fgColor rgb="FFFFF9C4"/>
        <bgColor rgb="FFFFFF99"/>
      </patternFill>
    </fill>
    <fill>
      <patternFill patternType="solid">
        <fgColor rgb="FFE8F5E9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2F4F4F"/>
          <bgColor rgb="FF000000"/>
        </patternFill>
      </fill>
    </dxf>
    <dxf>
      <fill>
        <patternFill patternType="solid">
          <fgColor rgb="FFE8F5E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9C4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C4"/>
      <rgbColor rgb="FFE8F5E9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F4F4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20"/>
    <col collapsed="false" customWidth="true" hidden="false" outlineLevel="0" max="4" min="4" style="0" width="30"/>
    <col collapsed="false" customWidth="true" hidden="false" outlineLevel="0" max="5" min="5" style="0" width="16"/>
    <col collapsed="false" customWidth="true" hidden="false" outlineLevel="0" max="6" min="6" style="0" width="26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13"/>
    <col collapsed="false" customWidth="true" hidden="false" outlineLevel="0" max="10" min="10" style="0" width="15"/>
    <col collapsed="false" customWidth="true" hidden="false" outlineLevel="0" max="11" min="11" style="0" width="11"/>
    <col collapsed="false" customWidth="true" hidden="false" outlineLevel="0" max="12" min="12" style="0" width="44"/>
    <col collapsed="false" customWidth="true" hidden="false" outlineLevel="0" max="13" min="13" style="0" width="18"/>
    <col collapsed="false" customWidth="true" hidden="false" outlineLevel="0" max="14" min="14" style="0" width="20"/>
    <col collapsed="false" customWidth="true" hidden="false" outlineLevel="0" max="15" min="15" style="0" width="52"/>
  </cols>
  <sheetData>
    <row r="1" customFormat="false" ht="17.35" hidden="false" customHeight="false" outlineLevel="0" collapsed="false">
      <c r="A1" s="1" t="s">
        <v>0</v>
      </c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customFormat="false" ht="23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</row>
    <row r="5" customFormat="false" ht="15" hidden="false" customHeight="false" outlineLevel="0" collapsed="false">
      <c r="A5" s="4" t="n">
        <v>1</v>
      </c>
      <c r="B5" s="4" t="s">
        <v>17</v>
      </c>
      <c r="C5" s="4"/>
      <c r="D5" s="5"/>
      <c r="E5" s="5"/>
      <c r="F5" s="5"/>
      <c r="G5" s="6"/>
      <c r="H5" s="6"/>
      <c r="I5" s="6" t="s">
        <v>18</v>
      </c>
      <c r="J5" s="6"/>
      <c r="K5" s="6"/>
      <c r="L5" s="7"/>
      <c r="M5" s="4" t="s">
        <v>19</v>
      </c>
      <c r="N5" s="4" t="s">
        <v>20</v>
      </c>
      <c r="O5" s="4" t="s">
        <v>21</v>
      </c>
    </row>
    <row r="6" customFormat="false" ht="15" hidden="false" customHeight="false" outlineLevel="0" collapsed="false">
      <c r="A6" s="4" t="n">
        <v>2</v>
      </c>
      <c r="B6" s="4" t="s">
        <v>22</v>
      </c>
      <c r="C6" s="4"/>
      <c r="D6" s="5"/>
      <c r="E6" s="5"/>
      <c r="F6" s="5"/>
      <c r="G6" s="6"/>
      <c r="H6" s="6"/>
      <c r="I6" s="6" t="s">
        <v>18</v>
      </c>
      <c r="J6" s="6"/>
      <c r="K6" s="6"/>
      <c r="L6" s="7"/>
      <c r="M6" s="4" t="s">
        <v>23</v>
      </c>
      <c r="N6" s="4"/>
      <c r="O6" s="4" t="s">
        <v>24</v>
      </c>
    </row>
    <row r="7" customFormat="false" ht="15" hidden="false" customHeight="false" outlineLevel="0" collapsed="false">
      <c r="A7" s="4" t="n">
        <v>3</v>
      </c>
      <c r="B7" s="4" t="s">
        <v>25</v>
      </c>
      <c r="C7" s="4"/>
      <c r="D7" s="5"/>
      <c r="E7" s="5"/>
      <c r="F7" s="5"/>
      <c r="G7" s="6"/>
      <c r="H7" s="6"/>
      <c r="I7" s="6" t="s">
        <v>18</v>
      </c>
      <c r="J7" s="6"/>
      <c r="K7" s="6"/>
      <c r="L7" s="7"/>
      <c r="M7" s="4" t="s">
        <v>26</v>
      </c>
      <c r="N7" s="4" t="s">
        <v>27</v>
      </c>
      <c r="O7" s="4" t="s">
        <v>28</v>
      </c>
    </row>
    <row r="8" customFormat="false" ht="15" hidden="false" customHeight="false" outlineLevel="0" collapsed="false">
      <c r="A8" s="4" t="n">
        <v>4</v>
      </c>
      <c r="B8" s="4" t="s">
        <v>29</v>
      </c>
      <c r="C8" s="4"/>
      <c r="D8" s="5"/>
      <c r="E8" s="5"/>
      <c r="F8" s="5"/>
      <c r="G8" s="6"/>
      <c r="H8" s="6"/>
      <c r="I8" s="6" t="s">
        <v>18</v>
      </c>
      <c r="J8" s="6"/>
      <c r="K8" s="6"/>
      <c r="L8" s="7"/>
      <c r="M8" s="4" t="s">
        <v>30</v>
      </c>
      <c r="N8" s="4"/>
      <c r="O8" s="4" t="s">
        <v>31</v>
      </c>
    </row>
    <row r="9" customFormat="false" ht="15" hidden="false" customHeight="false" outlineLevel="0" collapsed="false">
      <c r="A9" s="4" t="n">
        <v>5</v>
      </c>
      <c r="B9" s="4" t="s">
        <v>32</v>
      </c>
      <c r="C9" s="4"/>
      <c r="D9" s="5"/>
      <c r="E9" s="5"/>
      <c r="F9" s="5"/>
      <c r="G9" s="6"/>
      <c r="H9" s="6"/>
      <c r="I9" s="6" t="s">
        <v>18</v>
      </c>
      <c r="J9" s="6"/>
      <c r="K9" s="6"/>
      <c r="L9" s="7"/>
      <c r="M9" s="4" t="s">
        <v>33</v>
      </c>
      <c r="N9" s="4"/>
      <c r="O9" s="4" t="s">
        <v>34</v>
      </c>
    </row>
    <row r="10" customFormat="false" ht="15" hidden="false" customHeight="false" outlineLevel="0" collapsed="false">
      <c r="A10" s="4" t="n">
        <v>6</v>
      </c>
      <c r="B10" s="4" t="s">
        <v>35</v>
      </c>
      <c r="C10" s="4"/>
      <c r="D10" s="5"/>
      <c r="E10" s="5"/>
      <c r="F10" s="5"/>
      <c r="G10" s="6"/>
      <c r="H10" s="6"/>
      <c r="I10" s="6" t="s">
        <v>18</v>
      </c>
      <c r="J10" s="6"/>
      <c r="K10" s="6"/>
      <c r="L10" s="7"/>
      <c r="M10" s="4" t="s">
        <v>36</v>
      </c>
      <c r="N10" s="4" t="s">
        <v>37</v>
      </c>
      <c r="O10" s="4" t="s">
        <v>38</v>
      </c>
    </row>
    <row r="11" customFormat="false" ht="23.85" hidden="false" customHeight="false" outlineLevel="0" collapsed="false">
      <c r="A11" s="8" t="n">
        <v>7</v>
      </c>
      <c r="B11" s="4" t="s">
        <v>39</v>
      </c>
      <c r="C11" s="4" t="s">
        <v>40</v>
      </c>
      <c r="D11" s="4" t="s">
        <v>41</v>
      </c>
      <c r="E11" s="5"/>
      <c r="F11" s="5"/>
      <c r="G11" s="6"/>
      <c r="H11" s="6"/>
      <c r="I11" s="6" t="s">
        <v>18</v>
      </c>
      <c r="J11" s="6"/>
      <c r="K11" s="6"/>
      <c r="L11" s="7" t="s">
        <v>42</v>
      </c>
      <c r="M11" s="4" t="s">
        <v>43</v>
      </c>
      <c r="N11" s="4" t="s">
        <v>37</v>
      </c>
      <c r="O11" s="4" t="s">
        <v>44</v>
      </c>
    </row>
    <row r="12" customFormat="false" ht="15" hidden="false" customHeight="false" outlineLevel="0" collapsed="false">
      <c r="A12" s="4" t="n">
        <v>8</v>
      </c>
      <c r="B12" s="4" t="s">
        <v>45</v>
      </c>
      <c r="C12" s="4"/>
      <c r="D12" s="5"/>
      <c r="E12" s="5"/>
      <c r="F12" s="5"/>
      <c r="G12" s="6"/>
      <c r="H12" s="6"/>
      <c r="I12" s="6" t="s">
        <v>18</v>
      </c>
      <c r="J12" s="6"/>
      <c r="K12" s="6"/>
      <c r="L12" s="7"/>
      <c r="M12" s="4" t="s">
        <v>33</v>
      </c>
      <c r="N12" s="4" t="s">
        <v>37</v>
      </c>
      <c r="O12" s="4" t="s">
        <v>46</v>
      </c>
    </row>
    <row r="13" customFormat="false" ht="15" hidden="false" customHeight="false" outlineLevel="0" collapsed="false">
      <c r="A13" s="4" t="n">
        <v>9</v>
      </c>
      <c r="B13" s="4" t="s">
        <v>47</v>
      </c>
      <c r="C13" s="4"/>
      <c r="D13" s="5"/>
      <c r="E13" s="5"/>
      <c r="F13" s="5"/>
      <c r="G13" s="6"/>
      <c r="H13" s="6"/>
      <c r="I13" s="6" t="s">
        <v>18</v>
      </c>
      <c r="J13" s="6"/>
      <c r="K13" s="6"/>
      <c r="L13" s="7"/>
      <c r="M13" s="4" t="s">
        <v>48</v>
      </c>
      <c r="N13" s="4"/>
      <c r="O13" s="4" t="s">
        <v>49</v>
      </c>
    </row>
    <row r="14" customFormat="false" ht="23.85" hidden="false" customHeight="false" outlineLevel="0" collapsed="false">
      <c r="A14" s="8" t="n">
        <v>10</v>
      </c>
      <c r="B14" s="4" t="s">
        <v>50</v>
      </c>
      <c r="C14" s="4" t="s">
        <v>51</v>
      </c>
      <c r="D14" s="4" t="s">
        <v>52</v>
      </c>
      <c r="E14" s="4" t="s">
        <v>53</v>
      </c>
      <c r="F14" s="4" t="s">
        <v>54</v>
      </c>
      <c r="G14" s="6"/>
      <c r="H14" s="6"/>
      <c r="I14" s="6" t="s">
        <v>18</v>
      </c>
      <c r="J14" s="6"/>
      <c r="K14" s="6"/>
      <c r="L14" s="7" t="s">
        <v>55</v>
      </c>
      <c r="M14" s="4" t="s">
        <v>56</v>
      </c>
      <c r="N14" s="4" t="s">
        <v>57</v>
      </c>
      <c r="O14" s="4" t="s">
        <v>58</v>
      </c>
    </row>
    <row r="15" customFormat="false" ht="15" hidden="false" customHeight="false" outlineLevel="0" collapsed="false">
      <c r="A15" s="4" t="n">
        <v>11</v>
      </c>
      <c r="B15" s="4" t="s">
        <v>59</v>
      </c>
      <c r="C15" s="4" t="s">
        <v>60</v>
      </c>
      <c r="D15" s="5"/>
      <c r="E15" s="5"/>
      <c r="F15" s="5"/>
      <c r="G15" s="6"/>
      <c r="H15" s="6"/>
      <c r="I15" s="6" t="s">
        <v>18</v>
      </c>
      <c r="J15" s="6"/>
      <c r="K15" s="6"/>
      <c r="L15" s="7"/>
      <c r="M15" s="4" t="s">
        <v>61</v>
      </c>
      <c r="N15" s="4" t="s">
        <v>62</v>
      </c>
      <c r="O15" s="4" t="s">
        <v>63</v>
      </c>
    </row>
    <row r="16" customFormat="false" ht="15" hidden="false" customHeight="false" outlineLevel="0" collapsed="false">
      <c r="A16" s="4" t="n">
        <v>12</v>
      </c>
      <c r="B16" s="4" t="s">
        <v>64</v>
      </c>
      <c r="C16" s="4"/>
      <c r="D16" s="5"/>
      <c r="E16" s="5"/>
      <c r="F16" s="5"/>
      <c r="G16" s="6"/>
      <c r="H16" s="6"/>
      <c r="I16" s="6" t="s">
        <v>18</v>
      </c>
      <c r="J16" s="6"/>
      <c r="K16" s="6"/>
      <c r="L16" s="7"/>
      <c r="M16" s="4" t="s">
        <v>65</v>
      </c>
      <c r="N16" s="4"/>
      <c r="O16" s="4" t="s">
        <v>66</v>
      </c>
    </row>
    <row r="17" customFormat="false" ht="15" hidden="false" customHeight="false" outlineLevel="0" collapsed="false">
      <c r="A17" s="4" t="n">
        <v>13</v>
      </c>
      <c r="B17" s="4" t="s">
        <v>67</v>
      </c>
      <c r="C17" s="4"/>
      <c r="D17" s="5"/>
      <c r="E17" s="5"/>
      <c r="F17" s="5"/>
      <c r="G17" s="6"/>
      <c r="H17" s="6"/>
      <c r="I17" s="6" t="s">
        <v>18</v>
      </c>
      <c r="J17" s="6"/>
      <c r="K17" s="6"/>
      <c r="L17" s="7"/>
      <c r="M17" s="4" t="s">
        <v>68</v>
      </c>
      <c r="N17" s="4"/>
      <c r="O17" s="4" t="s">
        <v>69</v>
      </c>
    </row>
    <row r="18" customFormat="false" ht="15" hidden="false" customHeight="false" outlineLevel="0" collapsed="false">
      <c r="A18" s="4" t="n">
        <v>14</v>
      </c>
      <c r="B18" s="4" t="s">
        <v>70</v>
      </c>
      <c r="C18" s="4"/>
      <c r="D18" s="5"/>
      <c r="E18" s="5"/>
      <c r="F18" s="5"/>
      <c r="G18" s="6"/>
      <c r="H18" s="6"/>
      <c r="I18" s="6" t="s">
        <v>18</v>
      </c>
      <c r="J18" s="6"/>
      <c r="K18" s="6"/>
      <c r="L18" s="7"/>
      <c r="M18" s="4" t="s">
        <v>33</v>
      </c>
      <c r="N18" s="4"/>
      <c r="O18" s="4" t="s">
        <v>71</v>
      </c>
    </row>
    <row r="19" customFormat="false" ht="15" hidden="false" customHeight="false" outlineLevel="0" collapsed="false">
      <c r="A19" s="4" t="n">
        <v>15</v>
      </c>
      <c r="B19" s="4" t="s">
        <v>72</v>
      </c>
      <c r="C19" s="4" t="s">
        <v>73</v>
      </c>
      <c r="D19" s="5"/>
      <c r="E19" s="5"/>
      <c r="F19" s="5"/>
      <c r="G19" s="6"/>
      <c r="H19" s="6"/>
      <c r="I19" s="6" t="s">
        <v>18</v>
      </c>
      <c r="J19" s="6"/>
      <c r="K19" s="6"/>
      <c r="L19" s="7"/>
      <c r="M19" s="4" t="s">
        <v>74</v>
      </c>
      <c r="N19" s="4"/>
      <c r="O19" s="4" t="s">
        <v>75</v>
      </c>
    </row>
    <row r="20" customFormat="false" ht="15" hidden="false" customHeight="false" outlineLevel="0" collapsed="false">
      <c r="A20" s="4" t="n">
        <v>16</v>
      </c>
      <c r="B20" s="4" t="s">
        <v>76</v>
      </c>
      <c r="C20" s="4"/>
      <c r="D20" s="5"/>
      <c r="E20" s="5"/>
      <c r="F20" s="5"/>
      <c r="G20" s="6"/>
      <c r="H20" s="6"/>
      <c r="I20" s="6" t="s">
        <v>18</v>
      </c>
      <c r="J20" s="6"/>
      <c r="K20" s="6"/>
      <c r="L20" s="7"/>
      <c r="M20" s="4" t="s">
        <v>77</v>
      </c>
      <c r="N20" s="4"/>
      <c r="O20" s="4" t="s">
        <v>78</v>
      </c>
    </row>
    <row r="21" customFormat="false" ht="15" hidden="false" customHeight="false" outlineLevel="0" collapsed="false">
      <c r="A21" s="4" t="n">
        <v>17</v>
      </c>
      <c r="B21" s="4" t="s">
        <v>79</v>
      </c>
      <c r="C21" s="4"/>
      <c r="D21" s="5"/>
      <c r="E21" s="5"/>
      <c r="F21" s="5"/>
      <c r="G21" s="6"/>
      <c r="H21" s="6"/>
      <c r="I21" s="6" t="s">
        <v>18</v>
      </c>
      <c r="J21" s="6"/>
      <c r="K21" s="6"/>
      <c r="L21" s="7"/>
      <c r="M21" s="4" t="s">
        <v>80</v>
      </c>
      <c r="N21" s="4"/>
      <c r="O21" s="4" t="s">
        <v>81</v>
      </c>
    </row>
    <row r="22" customFormat="false" ht="15" hidden="false" customHeight="false" outlineLevel="0" collapsed="false">
      <c r="A22" s="4" t="n">
        <v>18</v>
      </c>
      <c r="B22" s="4" t="s">
        <v>82</v>
      </c>
      <c r="C22" s="4"/>
      <c r="D22" s="5"/>
      <c r="E22" s="5"/>
      <c r="F22" s="5"/>
      <c r="G22" s="6"/>
      <c r="H22" s="6"/>
      <c r="I22" s="6" t="s">
        <v>18</v>
      </c>
      <c r="J22" s="6"/>
      <c r="K22" s="6"/>
      <c r="L22" s="7"/>
      <c r="M22" s="4" t="s">
        <v>33</v>
      </c>
      <c r="N22" s="4"/>
      <c r="O22" s="4" t="s">
        <v>83</v>
      </c>
    </row>
    <row r="23" customFormat="false" ht="15" hidden="false" customHeight="false" outlineLevel="0" collapsed="false">
      <c r="A23" s="4" t="n">
        <v>19</v>
      </c>
      <c r="B23" s="4" t="s">
        <v>84</v>
      </c>
      <c r="C23" s="4" t="s">
        <v>85</v>
      </c>
      <c r="D23" s="5"/>
      <c r="E23" s="5"/>
      <c r="F23" s="5"/>
      <c r="G23" s="6"/>
      <c r="H23" s="6"/>
      <c r="I23" s="6" t="s">
        <v>18</v>
      </c>
      <c r="J23" s="6"/>
      <c r="K23" s="6"/>
      <c r="L23" s="7"/>
      <c r="M23" s="4" t="s">
        <v>86</v>
      </c>
      <c r="N23" s="4"/>
      <c r="O23" s="4" t="s">
        <v>87</v>
      </c>
    </row>
    <row r="24" customFormat="false" ht="15" hidden="false" customHeight="false" outlineLevel="0" collapsed="false">
      <c r="A24" s="4" t="n">
        <v>20</v>
      </c>
      <c r="B24" s="4" t="s">
        <v>88</v>
      </c>
      <c r="C24" s="4"/>
      <c r="D24" s="5"/>
      <c r="E24" s="5"/>
      <c r="F24" s="5"/>
      <c r="G24" s="6"/>
      <c r="H24" s="6"/>
      <c r="I24" s="6" t="s">
        <v>18</v>
      </c>
      <c r="J24" s="6"/>
      <c r="K24" s="6"/>
      <c r="L24" s="7"/>
      <c r="M24" s="4" t="s">
        <v>89</v>
      </c>
      <c r="N24" s="4" t="s">
        <v>90</v>
      </c>
      <c r="O24" s="4" t="s">
        <v>91</v>
      </c>
    </row>
    <row r="25" customFormat="false" ht="15" hidden="false" customHeight="false" outlineLevel="0" collapsed="false">
      <c r="A25" s="4" t="n">
        <v>21</v>
      </c>
      <c r="B25" s="4" t="s">
        <v>92</v>
      </c>
      <c r="C25" s="4"/>
      <c r="D25" s="5"/>
      <c r="E25" s="5"/>
      <c r="F25" s="5"/>
      <c r="G25" s="6"/>
      <c r="H25" s="6"/>
      <c r="I25" s="6" t="s">
        <v>18</v>
      </c>
      <c r="J25" s="6"/>
      <c r="K25" s="6"/>
      <c r="L25" s="7"/>
      <c r="M25" s="4" t="s">
        <v>93</v>
      </c>
      <c r="N25" s="4"/>
      <c r="O25" s="4" t="s">
        <v>94</v>
      </c>
    </row>
    <row r="26" customFormat="false" ht="15" hidden="false" customHeight="false" outlineLevel="0" collapsed="false">
      <c r="A26" s="4" t="n">
        <v>22</v>
      </c>
      <c r="B26" s="4" t="s">
        <v>95</v>
      </c>
      <c r="C26" s="4" t="s">
        <v>96</v>
      </c>
      <c r="D26" s="5"/>
      <c r="E26" s="5"/>
      <c r="F26" s="5"/>
      <c r="G26" s="6"/>
      <c r="H26" s="6"/>
      <c r="I26" s="6" t="s">
        <v>18</v>
      </c>
      <c r="J26" s="6"/>
      <c r="K26" s="6"/>
      <c r="L26" s="7"/>
      <c r="M26" s="4" t="s">
        <v>97</v>
      </c>
      <c r="N26" s="4" t="s">
        <v>98</v>
      </c>
      <c r="O26" s="4" t="s">
        <v>99</v>
      </c>
    </row>
    <row r="27" customFormat="false" ht="15" hidden="false" customHeight="false" outlineLevel="0" collapsed="false">
      <c r="A27" s="4" t="n">
        <v>23</v>
      </c>
      <c r="B27" s="4" t="s">
        <v>100</v>
      </c>
      <c r="C27" s="4"/>
      <c r="D27" s="5"/>
      <c r="E27" s="5"/>
      <c r="F27" s="5"/>
      <c r="G27" s="6"/>
      <c r="H27" s="6"/>
      <c r="I27" s="6" t="s">
        <v>18</v>
      </c>
      <c r="J27" s="6"/>
      <c r="K27" s="6"/>
      <c r="L27" s="7"/>
      <c r="M27" s="4" t="s">
        <v>97</v>
      </c>
      <c r="N27" s="4" t="s">
        <v>101</v>
      </c>
      <c r="O27" s="4" t="s">
        <v>102</v>
      </c>
    </row>
    <row r="28" customFormat="false" ht="15" hidden="false" customHeight="false" outlineLevel="0" collapsed="false">
      <c r="A28" s="4" t="n">
        <v>24</v>
      </c>
      <c r="B28" s="4" t="s">
        <v>103</v>
      </c>
      <c r="C28" s="4"/>
      <c r="D28" s="5"/>
      <c r="E28" s="5"/>
      <c r="F28" s="5"/>
      <c r="G28" s="6"/>
      <c r="H28" s="6"/>
      <c r="I28" s="6" t="s">
        <v>18</v>
      </c>
      <c r="J28" s="6"/>
      <c r="K28" s="6"/>
      <c r="L28" s="7"/>
      <c r="M28" s="4" t="s">
        <v>104</v>
      </c>
      <c r="N28" s="4" t="s">
        <v>37</v>
      </c>
      <c r="O28" s="4" t="s">
        <v>105</v>
      </c>
    </row>
    <row r="29" customFormat="false" ht="15" hidden="false" customHeight="false" outlineLevel="0" collapsed="false">
      <c r="A29" s="4" t="n">
        <v>25</v>
      </c>
      <c r="B29" s="4" t="s">
        <v>106</v>
      </c>
      <c r="C29" s="4"/>
      <c r="D29" s="5"/>
      <c r="E29" s="5"/>
      <c r="F29" s="5"/>
      <c r="G29" s="6"/>
      <c r="H29" s="6"/>
      <c r="I29" s="6" t="s">
        <v>18</v>
      </c>
      <c r="J29" s="6"/>
      <c r="K29" s="6"/>
      <c r="L29" s="7"/>
      <c r="M29" s="4" t="s">
        <v>107</v>
      </c>
      <c r="N29" s="4"/>
      <c r="O29" s="4" t="s">
        <v>108</v>
      </c>
    </row>
    <row r="30" customFormat="false" ht="15" hidden="false" customHeight="false" outlineLevel="0" collapsed="false">
      <c r="A30" s="4" t="n">
        <v>26</v>
      </c>
      <c r="B30" s="4" t="s">
        <v>109</v>
      </c>
      <c r="C30" s="4"/>
      <c r="D30" s="5"/>
      <c r="E30" s="5"/>
      <c r="F30" s="5"/>
      <c r="G30" s="6"/>
      <c r="H30" s="6"/>
      <c r="I30" s="6" t="s">
        <v>18</v>
      </c>
      <c r="J30" s="6"/>
      <c r="K30" s="6"/>
      <c r="L30" s="7"/>
      <c r="M30" s="4" t="s">
        <v>110</v>
      </c>
      <c r="N30" s="4"/>
      <c r="O30" s="4" t="s">
        <v>111</v>
      </c>
    </row>
    <row r="31" customFormat="false" ht="15" hidden="false" customHeight="false" outlineLevel="0" collapsed="false">
      <c r="A31" s="4" t="n">
        <v>27</v>
      </c>
      <c r="B31" s="4" t="s">
        <v>112</v>
      </c>
      <c r="C31" s="4"/>
      <c r="D31" s="5"/>
      <c r="E31" s="5"/>
      <c r="F31" s="5"/>
      <c r="G31" s="6"/>
      <c r="H31" s="6"/>
      <c r="I31" s="6" t="s">
        <v>18</v>
      </c>
      <c r="J31" s="6"/>
      <c r="K31" s="6"/>
      <c r="L31" s="7"/>
      <c r="M31" s="4" t="s">
        <v>33</v>
      </c>
      <c r="N31" s="4"/>
      <c r="O31" s="4" t="s">
        <v>113</v>
      </c>
    </row>
    <row r="32" customFormat="false" ht="15" hidden="false" customHeight="false" outlineLevel="0" collapsed="false">
      <c r="A32" s="4" t="n">
        <v>28</v>
      </c>
      <c r="B32" s="4" t="s">
        <v>114</v>
      </c>
      <c r="C32" s="4"/>
      <c r="D32" s="5"/>
      <c r="E32" s="5"/>
      <c r="F32" s="5"/>
      <c r="G32" s="6"/>
      <c r="H32" s="6"/>
      <c r="I32" s="6" t="s">
        <v>18</v>
      </c>
      <c r="J32" s="6"/>
      <c r="K32" s="6"/>
      <c r="L32" s="7"/>
      <c r="M32" s="4" t="s">
        <v>26</v>
      </c>
      <c r="N32" s="4"/>
      <c r="O32" s="4" t="s">
        <v>115</v>
      </c>
    </row>
    <row r="33" customFormat="false" ht="15" hidden="false" customHeight="false" outlineLevel="0" collapsed="false">
      <c r="A33" s="4" t="n">
        <v>29</v>
      </c>
      <c r="B33" s="4" t="s">
        <v>116</v>
      </c>
      <c r="C33" s="4" t="s">
        <v>117</v>
      </c>
      <c r="D33" s="5"/>
      <c r="E33" s="5"/>
      <c r="F33" s="5"/>
      <c r="G33" s="6"/>
      <c r="H33" s="6"/>
      <c r="I33" s="6" t="s">
        <v>18</v>
      </c>
      <c r="J33" s="6"/>
      <c r="K33" s="6"/>
      <c r="L33" s="7"/>
      <c r="M33" s="4" t="s">
        <v>118</v>
      </c>
      <c r="N33" s="4"/>
      <c r="O33" s="4" t="s">
        <v>119</v>
      </c>
    </row>
    <row r="34" customFormat="false" ht="15" hidden="false" customHeight="false" outlineLevel="0" collapsed="false">
      <c r="A34" s="4" t="n">
        <v>30</v>
      </c>
      <c r="B34" s="4" t="s">
        <v>120</v>
      </c>
      <c r="C34" s="4"/>
      <c r="D34" s="5"/>
      <c r="E34" s="5"/>
      <c r="F34" s="5"/>
      <c r="G34" s="6"/>
      <c r="H34" s="6"/>
      <c r="I34" s="6" t="s">
        <v>18</v>
      </c>
      <c r="J34" s="6"/>
      <c r="K34" s="6"/>
      <c r="L34" s="7"/>
      <c r="M34" s="4" t="s">
        <v>121</v>
      </c>
      <c r="N34" s="4"/>
      <c r="O34" s="4" t="s">
        <v>122</v>
      </c>
    </row>
    <row r="35" customFormat="false" ht="15" hidden="false" customHeight="false" outlineLevel="0" collapsed="false">
      <c r="A35" s="4" t="n">
        <v>31</v>
      </c>
      <c r="B35" s="4" t="s">
        <v>123</v>
      </c>
      <c r="C35" s="4"/>
      <c r="D35" s="5"/>
      <c r="E35" s="5"/>
      <c r="F35" s="5"/>
      <c r="G35" s="6"/>
      <c r="H35" s="6"/>
      <c r="I35" s="6" t="s">
        <v>18</v>
      </c>
      <c r="J35" s="6"/>
      <c r="K35" s="6"/>
      <c r="L35" s="7"/>
      <c r="M35" s="4" t="s">
        <v>124</v>
      </c>
      <c r="N35" s="4" t="s">
        <v>125</v>
      </c>
      <c r="O35" s="4" t="s">
        <v>126</v>
      </c>
    </row>
    <row r="36" customFormat="false" ht="15" hidden="false" customHeight="false" outlineLevel="0" collapsed="false">
      <c r="A36" s="4" t="n">
        <v>32</v>
      </c>
      <c r="B36" s="4" t="s">
        <v>127</v>
      </c>
      <c r="C36" s="4"/>
      <c r="D36" s="5"/>
      <c r="E36" s="5"/>
      <c r="F36" s="5"/>
      <c r="G36" s="6"/>
      <c r="H36" s="6"/>
      <c r="I36" s="6" t="s">
        <v>18</v>
      </c>
      <c r="J36" s="6"/>
      <c r="K36" s="6"/>
      <c r="L36" s="7"/>
      <c r="M36" s="4" t="s">
        <v>48</v>
      </c>
      <c r="N36" s="4"/>
      <c r="O36" s="4" t="s">
        <v>128</v>
      </c>
    </row>
    <row r="37" customFormat="false" ht="15" hidden="false" customHeight="false" outlineLevel="0" collapsed="false">
      <c r="A37" s="4" t="n">
        <v>33</v>
      </c>
      <c r="B37" s="4" t="s">
        <v>129</v>
      </c>
      <c r="C37" s="4" t="s">
        <v>130</v>
      </c>
      <c r="D37" s="5"/>
      <c r="E37" s="5"/>
      <c r="F37" s="5"/>
      <c r="G37" s="6"/>
      <c r="H37" s="6"/>
      <c r="I37" s="6" t="s">
        <v>18</v>
      </c>
      <c r="J37" s="6"/>
      <c r="K37" s="6"/>
      <c r="L37" s="7"/>
      <c r="M37" s="4" t="s">
        <v>131</v>
      </c>
      <c r="N37" s="4"/>
      <c r="O37" s="4" t="s">
        <v>132</v>
      </c>
    </row>
    <row r="38" customFormat="false" ht="15" hidden="false" customHeight="false" outlineLevel="0" collapsed="false">
      <c r="A38" s="4" t="n">
        <v>34</v>
      </c>
      <c r="B38" s="4" t="s">
        <v>133</v>
      </c>
      <c r="C38" s="4" t="s">
        <v>134</v>
      </c>
      <c r="D38" s="5"/>
      <c r="E38" s="5"/>
      <c r="F38" s="5"/>
      <c r="G38" s="6"/>
      <c r="H38" s="6"/>
      <c r="I38" s="6" t="s">
        <v>18</v>
      </c>
      <c r="J38" s="6"/>
      <c r="K38" s="6"/>
      <c r="L38" s="7"/>
      <c r="M38" s="4" t="s">
        <v>107</v>
      </c>
      <c r="N38" s="4"/>
      <c r="O38" s="4" t="s">
        <v>135</v>
      </c>
    </row>
    <row r="39" customFormat="false" ht="15" hidden="false" customHeight="false" outlineLevel="0" collapsed="false">
      <c r="A39" s="4" t="n">
        <v>35</v>
      </c>
      <c r="B39" s="4" t="s">
        <v>136</v>
      </c>
      <c r="C39" s="4"/>
      <c r="D39" s="5"/>
      <c r="E39" s="5"/>
      <c r="F39" s="5"/>
      <c r="G39" s="6"/>
      <c r="H39" s="6"/>
      <c r="I39" s="6" t="s">
        <v>18</v>
      </c>
      <c r="J39" s="6"/>
      <c r="K39" s="6"/>
      <c r="L39" s="7"/>
      <c r="M39" s="4" t="s">
        <v>137</v>
      </c>
      <c r="N39" s="4" t="s">
        <v>138</v>
      </c>
      <c r="O39" s="4" t="s">
        <v>139</v>
      </c>
    </row>
    <row r="40" customFormat="false" ht="15" hidden="false" customHeight="false" outlineLevel="0" collapsed="false">
      <c r="A40" s="4" t="n">
        <v>36</v>
      </c>
      <c r="B40" s="4" t="s">
        <v>140</v>
      </c>
      <c r="C40" s="4"/>
      <c r="D40" s="5"/>
      <c r="E40" s="5"/>
      <c r="F40" s="5"/>
      <c r="G40" s="6"/>
      <c r="H40" s="6"/>
      <c r="I40" s="6" t="s">
        <v>18</v>
      </c>
      <c r="J40" s="6"/>
      <c r="K40" s="6"/>
      <c r="L40" s="7"/>
      <c r="M40" s="4" t="s">
        <v>110</v>
      </c>
      <c r="N40" s="4"/>
      <c r="O40" s="4" t="s">
        <v>141</v>
      </c>
    </row>
    <row r="41" customFormat="false" ht="15" hidden="false" customHeight="false" outlineLevel="0" collapsed="false">
      <c r="A41" s="4" t="n">
        <v>37</v>
      </c>
      <c r="B41" s="4" t="s">
        <v>142</v>
      </c>
      <c r="C41" s="4" t="s">
        <v>143</v>
      </c>
      <c r="D41" s="5"/>
      <c r="E41" s="5"/>
      <c r="F41" s="5"/>
      <c r="G41" s="6"/>
      <c r="H41" s="6"/>
      <c r="I41" s="6" t="s">
        <v>18</v>
      </c>
      <c r="J41" s="6"/>
      <c r="K41" s="6"/>
      <c r="L41" s="7"/>
      <c r="M41" s="4" t="s">
        <v>144</v>
      </c>
      <c r="N41" s="4"/>
      <c r="O41" s="4" t="s">
        <v>145</v>
      </c>
    </row>
    <row r="42" customFormat="false" ht="15" hidden="false" customHeight="false" outlineLevel="0" collapsed="false">
      <c r="A42" s="4" t="n">
        <v>38</v>
      </c>
      <c r="B42" s="4" t="s">
        <v>146</v>
      </c>
      <c r="C42" s="4"/>
      <c r="D42" s="5"/>
      <c r="E42" s="5"/>
      <c r="F42" s="5"/>
      <c r="G42" s="6"/>
      <c r="H42" s="6"/>
      <c r="I42" s="6" t="s">
        <v>18</v>
      </c>
      <c r="J42" s="6"/>
      <c r="K42" s="6"/>
      <c r="L42" s="7"/>
      <c r="M42" s="4" t="s">
        <v>147</v>
      </c>
      <c r="N42" s="4" t="s">
        <v>148</v>
      </c>
      <c r="O42" s="4" t="s">
        <v>149</v>
      </c>
    </row>
    <row r="43" customFormat="false" ht="15" hidden="false" customHeight="false" outlineLevel="0" collapsed="false">
      <c r="A43" s="4" t="n">
        <v>39</v>
      </c>
      <c r="B43" s="4" t="s">
        <v>150</v>
      </c>
      <c r="C43" s="4"/>
      <c r="D43" s="5"/>
      <c r="E43" s="5"/>
      <c r="F43" s="5"/>
      <c r="G43" s="6"/>
      <c r="H43" s="6"/>
      <c r="I43" s="6" t="s">
        <v>18</v>
      </c>
      <c r="J43" s="6"/>
      <c r="K43" s="6"/>
      <c r="L43" s="7"/>
      <c r="M43" s="4" t="s">
        <v>121</v>
      </c>
      <c r="N43" s="4"/>
      <c r="O43" s="4" t="s">
        <v>151</v>
      </c>
    </row>
    <row r="44" customFormat="false" ht="15" hidden="false" customHeight="false" outlineLevel="0" collapsed="false">
      <c r="A44" s="4" t="n">
        <v>40</v>
      </c>
      <c r="B44" s="4" t="s">
        <v>152</v>
      </c>
      <c r="C44" s="4"/>
      <c r="D44" s="5"/>
      <c r="E44" s="5"/>
      <c r="F44" s="5"/>
      <c r="G44" s="6"/>
      <c r="H44" s="6"/>
      <c r="I44" s="6" t="s">
        <v>18</v>
      </c>
      <c r="J44" s="6"/>
      <c r="K44" s="6"/>
      <c r="L44" s="7"/>
      <c r="M44" s="4" t="s">
        <v>153</v>
      </c>
      <c r="N44" s="4"/>
      <c r="O44" s="4" t="s">
        <v>154</v>
      </c>
    </row>
    <row r="45" customFormat="false" ht="15" hidden="false" customHeight="false" outlineLevel="0" collapsed="false">
      <c r="A45" s="4" t="n">
        <v>41</v>
      </c>
      <c r="B45" s="4" t="s">
        <v>155</v>
      </c>
      <c r="C45" s="4"/>
      <c r="D45" s="5"/>
      <c r="E45" s="5"/>
      <c r="F45" s="5"/>
      <c r="G45" s="6"/>
      <c r="H45" s="6"/>
      <c r="I45" s="6" t="s">
        <v>18</v>
      </c>
      <c r="J45" s="6"/>
      <c r="K45" s="6"/>
      <c r="L45" s="7"/>
      <c r="M45" s="4" t="s">
        <v>156</v>
      </c>
      <c r="N45" s="4"/>
      <c r="O45" s="4" t="s">
        <v>157</v>
      </c>
    </row>
    <row r="46" customFormat="false" ht="15" hidden="false" customHeight="false" outlineLevel="0" collapsed="false">
      <c r="A46" s="4" t="n">
        <v>42</v>
      </c>
      <c r="B46" s="4" t="s">
        <v>158</v>
      </c>
      <c r="C46" s="4"/>
      <c r="D46" s="5"/>
      <c r="E46" s="5"/>
      <c r="F46" s="5"/>
      <c r="G46" s="6"/>
      <c r="H46" s="6"/>
      <c r="I46" s="6" t="s">
        <v>18</v>
      </c>
      <c r="J46" s="6"/>
      <c r="K46" s="6"/>
      <c r="L46" s="7"/>
      <c r="M46" s="4" t="s">
        <v>93</v>
      </c>
      <c r="N46" s="4"/>
      <c r="O46" s="4" t="s">
        <v>159</v>
      </c>
    </row>
    <row r="47" customFormat="false" ht="15" hidden="false" customHeight="false" outlineLevel="0" collapsed="false">
      <c r="A47" s="4" t="n">
        <v>43</v>
      </c>
      <c r="B47" s="4" t="s">
        <v>160</v>
      </c>
      <c r="C47" s="4" t="s">
        <v>161</v>
      </c>
      <c r="D47" s="5"/>
      <c r="E47" s="5"/>
      <c r="F47" s="5"/>
      <c r="G47" s="6"/>
      <c r="H47" s="6"/>
      <c r="I47" s="6" t="s">
        <v>18</v>
      </c>
      <c r="J47" s="6"/>
      <c r="K47" s="6"/>
      <c r="L47" s="7"/>
      <c r="M47" s="4" t="s">
        <v>162</v>
      </c>
      <c r="N47" s="4"/>
      <c r="O47" s="4" t="s">
        <v>163</v>
      </c>
    </row>
    <row r="48" customFormat="false" ht="15" hidden="false" customHeight="false" outlineLevel="0" collapsed="false">
      <c r="A48" s="4" t="n">
        <v>44</v>
      </c>
      <c r="B48" s="4" t="s">
        <v>164</v>
      </c>
      <c r="C48" s="4" t="s">
        <v>165</v>
      </c>
      <c r="D48" s="5"/>
      <c r="E48" s="5"/>
      <c r="F48" s="5"/>
      <c r="G48" s="6"/>
      <c r="H48" s="6"/>
      <c r="I48" s="6" t="s">
        <v>18</v>
      </c>
      <c r="J48" s="6"/>
      <c r="K48" s="6"/>
      <c r="L48" s="7"/>
      <c r="M48" s="4" t="s">
        <v>61</v>
      </c>
      <c r="N48" s="4" t="s">
        <v>166</v>
      </c>
      <c r="O48" s="4" t="s">
        <v>167</v>
      </c>
    </row>
    <row r="49" customFormat="false" ht="15" hidden="false" customHeight="false" outlineLevel="0" collapsed="false">
      <c r="A49" s="4" t="n">
        <v>45</v>
      </c>
      <c r="B49" s="4" t="s">
        <v>168</v>
      </c>
      <c r="C49" s="4"/>
      <c r="D49" s="5"/>
      <c r="E49" s="5"/>
      <c r="F49" s="5"/>
      <c r="G49" s="6"/>
      <c r="H49" s="6"/>
      <c r="I49" s="6" t="s">
        <v>18</v>
      </c>
      <c r="J49" s="6"/>
      <c r="K49" s="6"/>
      <c r="L49" s="7"/>
      <c r="M49" s="4" t="s">
        <v>33</v>
      </c>
      <c r="N49" s="4"/>
      <c r="O49" s="4" t="s">
        <v>169</v>
      </c>
    </row>
    <row r="50" customFormat="false" ht="15" hidden="false" customHeight="false" outlineLevel="0" collapsed="false">
      <c r="A50" s="4" t="n">
        <v>46</v>
      </c>
      <c r="B50" s="4" t="s">
        <v>170</v>
      </c>
      <c r="C50" s="4"/>
      <c r="D50" s="5"/>
      <c r="E50" s="5"/>
      <c r="F50" s="5"/>
      <c r="G50" s="6"/>
      <c r="H50" s="6"/>
      <c r="I50" s="6" t="s">
        <v>18</v>
      </c>
      <c r="J50" s="6"/>
      <c r="K50" s="6"/>
      <c r="L50" s="7"/>
      <c r="M50" s="4" t="s">
        <v>171</v>
      </c>
      <c r="N50" s="4"/>
      <c r="O50" s="4" t="s">
        <v>172</v>
      </c>
    </row>
    <row r="51" customFormat="false" ht="15" hidden="false" customHeight="false" outlineLevel="0" collapsed="false">
      <c r="A51" s="4" t="n">
        <v>47</v>
      </c>
      <c r="B51" s="4" t="s">
        <v>173</v>
      </c>
      <c r="C51" s="4"/>
      <c r="D51" s="5"/>
      <c r="E51" s="5"/>
      <c r="F51" s="5"/>
      <c r="G51" s="6"/>
      <c r="H51" s="6"/>
      <c r="I51" s="6" t="s">
        <v>18</v>
      </c>
      <c r="J51" s="6"/>
      <c r="K51" s="6"/>
      <c r="L51" s="7"/>
      <c r="M51" s="4" t="s">
        <v>26</v>
      </c>
      <c r="N51" s="4"/>
      <c r="O51" s="4" t="s">
        <v>174</v>
      </c>
    </row>
    <row r="52" customFormat="false" ht="15" hidden="false" customHeight="false" outlineLevel="0" collapsed="false">
      <c r="A52" s="4" t="n">
        <v>48</v>
      </c>
      <c r="B52" s="4" t="s">
        <v>175</v>
      </c>
      <c r="C52" s="4"/>
      <c r="D52" s="5"/>
      <c r="E52" s="5"/>
      <c r="F52" s="5"/>
      <c r="G52" s="6"/>
      <c r="H52" s="6"/>
      <c r="I52" s="6" t="s">
        <v>18</v>
      </c>
      <c r="J52" s="6"/>
      <c r="K52" s="6"/>
      <c r="L52" s="7"/>
      <c r="M52" s="4" t="s">
        <v>176</v>
      </c>
      <c r="N52" s="4"/>
      <c r="O52" s="4" t="s">
        <v>177</v>
      </c>
    </row>
    <row r="53" customFormat="false" ht="15" hidden="false" customHeight="false" outlineLevel="0" collapsed="false">
      <c r="A53" s="4" t="n">
        <v>49</v>
      </c>
      <c r="B53" s="4" t="s">
        <v>178</v>
      </c>
      <c r="C53" s="4"/>
      <c r="D53" s="5"/>
      <c r="E53" s="5"/>
      <c r="F53" s="5"/>
      <c r="G53" s="6"/>
      <c r="H53" s="6"/>
      <c r="I53" s="6" t="s">
        <v>18</v>
      </c>
      <c r="J53" s="6"/>
      <c r="K53" s="6"/>
      <c r="L53" s="7"/>
      <c r="M53" s="4" t="s">
        <v>179</v>
      </c>
      <c r="N53" s="4"/>
      <c r="O53" s="4" t="s">
        <v>180</v>
      </c>
    </row>
    <row r="54" customFormat="false" ht="15" hidden="false" customHeight="false" outlineLevel="0" collapsed="false">
      <c r="A54" s="4" t="n">
        <v>50</v>
      </c>
      <c r="B54" s="4" t="s">
        <v>181</v>
      </c>
      <c r="C54" s="4"/>
      <c r="D54" s="5"/>
      <c r="E54" s="5"/>
      <c r="F54" s="5"/>
      <c r="G54" s="6"/>
      <c r="H54" s="6"/>
      <c r="I54" s="6" t="s">
        <v>18</v>
      </c>
      <c r="J54" s="6"/>
      <c r="K54" s="6"/>
      <c r="L54" s="7"/>
      <c r="M54" s="4" t="s">
        <v>182</v>
      </c>
      <c r="N54" s="4"/>
      <c r="O54" s="4" t="s">
        <v>183</v>
      </c>
    </row>
    <row r="55" customFormat="false" ht="15" hidden="false" customHeight="false" outlineLevel="0" collapsed="false">
      <c r="A55" s="4" t="n">
        <v>51</v>
      </c>
      <c r="B55" s="4" t="s">
        <v>184</v>
      </c>
      <c r="C55" s="4"/>
      <c r="D55" s="5"/>
      <c r="E55" s="5"/>
      <c r="F55" s="5"/>
      <c r="G55" s="6"/>
      <c r="H55" s="6"/>
      <c r="I55" s="6" t="s">
        <v>18</v>
      </c>
      <c r="J55" s="6"/>
      <c r="K55" s="6"/>
      <c r="L55" s="7"/>
      <c r="M55" s="4" t="s">
        <v>26</v>
      </c>
      <c r="N55" s="4" t="s">
        <v>185</v>
      </c>
      <c r="O55" s="4" t="s">
        <v>186</v>
      </c>
    </row>
    <row r="56" customFormat="false" ht="15" hidden="false" customHeight="false" outlineLevel="0" collapsed="false">
      <c r="A56" s="4" t="n">
        <v>52</v>
      </c>
      <c r="B56" s="4" t="s">
        <v>187</v>
      </c>
      <c r="C56" s="4"/>
      <c r="D56" s="5"/>
      <c r="E56" s="5"/>
      <c r="F56" s="5"/>
      <c r="G56" s="6"/>
      <c r="H56" s="6"/>
      <c r="I56" s="6" t="s">
        <v>18</v>
      </c>
      <c r="J56" s="6"/>
      <c r="K56" s="6"/>
      <c r="L56" s="7"/>
      <c r="M56" s="4" t="s">
        <v>188</v>
      </c>
      <c r="N56" s="4" t="s">
        <v>189</v>
      </c>
      <c r="O56" s="4" t="s">
        <v>190</v>
      </c>
    </row>
    <row r="57" customFormat="false" ht="15" hidden="false" customHeight="false" outlineLevel="0" collapsed="false">
      <c r="A57" s="4" t="n">
        <v>53</v>
      </c>
      <c r="B57" s="4" t="s">
        <v>191</v>
      </c>
      <c r="C57" s="4"/>
      <c r="D57" s="5"/>
      <c r="E57" s="5"/>
      <c r="F57" s="5"/>
      <c r="G57" s="6"/>
      <c r="H57" s="6"/>
      <c r="I57" s="6" t="s">
        <v>18</v>
      </c>
      <c r="J57" s="6"/>
      <c r="K57" s="6"/>
      <c r="L57" s="7"/>
      <c r="M57" s="4" t="s">
        <v>121</v>
      </c>
      <c r="N57" s="4" t="s">
        <v>37</v>
      </c>
      <c r="O57" s="4" t="s">
        <v>192</v>
      </c>
    </row>
    <row r="58" customFormat="false" ht="15" hidden="false" customHeight="false" outlineLevel="0" collapsed="false">
      <c r="A58" s="4" t="n">
        <v>54</v>
      </c>
      <c r="B58" s="4" t="s">
        <v>193</v>
      </c>
      <c r="C58" s="4"/>
      <c r="D58" s="5"/>
      <c r="E58" s="5"/>
      <c r="F58" s="5"/>
      <c r="G58" s="6"/>
      <c r="H58" s="6"/>
      <c r="I58" s="6" t="s">
        <v>18</v>
      </c>
      <c r="J58" s="6"/>
      <c r="K58" s="6"/>
      <c r="L58" s="7"/>
      <c r="M58" s="4" t="s">
        <v>194</v>
      </c>
      <c r="N58" s="4"/>
      <c r="O58" s="4" t="s">
        <v>195</v>
      </c>
    </row>
    <row r="59" customFormat="false" ht="15" hidden="false" customHeight="false" outlineLevel="0" collapsed="false">
      <c r="A59" s="4" t="n">
        <v>55</v>
      </c>
      <c r="B59" s="4" t="s">
        <v>196</v>
      </c>
      <c r="C59" s="4"/>
      <c r="D59" s="5"/>
      <c r="E59" s="5"/>
      <c r="F59" s="5"/>
      <c r="G59" s="6"/>
      <c r="H59" s="6"/>
      <c r="I59" s="6" t="s">
        <v>18</v>
      </c>
      <c r="J59" s="6"/>
      <c r="K59" s="6"/>
      <c r="L59" s="7"/>
      <c r="M59" s="4" t="s">
        <v>197</v>
      </c>
      <c r="N59" s="4"/>
      <c r="O59" s="4" t="s">
        <v>198</v>
      </c>
    </row>
    <row r="60" customFormat="false" ht="15" hidden="false" customHeight="false" outlineLevel="0" collapsed="false">
      <c r="A60" s="4" t="n">
        <v>56</v>
      </c>
      <c r="B60" s="4" t="s">
        <v>199</v>
      </c>
      <c r="C60" s="4"/>
      <c r="D60" s="5"/>
      <c r="E60" s="5"/>
      <c r="F60" s="5"/>
      <c r="G60" s="6"/>
      <c r="H60" s="6"/>
      <c r="I60" s="6" t="s">
        <v>18</v>
      </c>
      <c r="J60" s="6"/>
      <c r="K60" s="6"/>
      <c r="L60" s="7"/>
      <c r="M60" s="4" t="s">
        <v>33</v>
      </c>
      <c r="N60" s="4" t="s">
        <v>200</v>
      </c>
      <c r="O60" s="4" t="s">
        <v>201</v>
      </c>
    </row>
    <row r="61" customFormat="false" ht="15" hidden="false" customHeight="false" outlineLevel="0" collapsed="false">
      <c r="A61" s="4" t="n">
        <v>57</v>
      </c>
      <c r="B61" s="4" t="s">
        <v>202</v>
      </c>
      <c r="C61" s="4"/>
      <c r="D61" s="5"/>
      <c r="E61" s="5"/>
      <c r="F61" s="5"/>
      <c r="G61" s="6"/>
      <c r="H61" s="6"/>
      <c r="I61" s="6" t="s">
        <v>18</v>
      </c>
      <c r="J61" s="6"/>
      <c r="K61" s="6"/>
      <c r="L61" s="7"/>
      <c r="M61" s="4" t="s">
        <v>33</v>
      </c>
      <c r="N61" s="4"/>
      <c r="O61" s="4" t="s">
        <v>203</v>
      </c>
    </row>
    <row r="62" customFormat="false" ht="15" hidden="false" customHeight="false" outlineLevel="0" collapsed="false">
      <c r="A62" s="4" t="n">
        <v>58</v>
      </c>
      <c r="B62" s="4" t="s">
        <v>204</v>
      </c>
      <c r="C62" s="4"/>
      <c r="D62" s="5"/>
      <c r="E62" s="5"/>
      <c r="F62" s="5"/>
      <c r="G62" s="6"/>
      <c r="H62" s="6"/>
      <c r="I62" s="6" t="s">
        <v>18</v>
      </c>
      <c r="J62" s="6"/>
      <c r="K62" s="6"/>
      <c r="L62" s="7"/>
      <c r="M62" s="4" t="s">
        <v>205</v>
      </c>
      <c r="N62" s="4" t="s">
        <v>206</v>
      </c>
      <c r="O62" s="4" t="s">
        <v>207</v>
      </c>
    </row>
    <row r="63" customFormat="false" ht="15" hidden="false" customHeight="false" outlineLevel="0" collapsed="false">
      <c r="A63" s="4" t="n">
        <v>59</v>
      </c>
      <c r="B63" s="4" t="s">
        <v>208</v>
      </c>
      <c r="C63" s="4"/>
      <c r="D63" s="5"/>
      <c r="E63" s="5"/>
      <c r="F63" s="5"/>
      <c r="G63" s="6"/>
      <c r="H63" s="6"/>
      <c r="I63" s="6" t="s">
        <v>18</v>
      </c>
      <c r="J63" s="6"/>
      <c r="K63" s="6"/>
      <c r="L63" s="7"/>
      <c r="M63" s="4" t="s">
        <v>61</v>
      </c>
      <c r="N63" s="4"/>
      <c r="O63" s="4" t="s">
        <v>209</v>
      </c>
    </row>
    <row r="64" customFormat="false" ht="15" hidden="false" customHeight="false" outlineLevel="0" collapsed="false">
      <c r="A64" s="4" t="n">
        <v>60</v>
      </c>
      <c r="B64" s="4" t="s">
        <v>210</v>
      </c>
      <c r="C64" s="4"/>
      <c r="D64" s="5"/>
      <c r="E64" s="5"/>
      <c r="F64" s="5"/>
      <c r="G64" s="6"/>
      <c r="H64" s="6"/>
      <c r="I64" s="6" t="s">
        <v>18</v>
      </c>
      <c r="J64" s="6"/>
      <c r="K64" s="6"/>
      <c r="L64" s="7"/>
      <c r="M64" s="4" t="s">
        <v>211</v>
      </c>
      <c r="N64" s="4"/>
      <c r="O64" s="4" t="s">
        <v>212</v>
      </c>
    </row>
    <row r="65" customFormat="false" ht="15" hidden="false" customHeight="false" outlineLevel="0" collapsed="false">
      <c r="A65" s="4" t="n">
        <v>61</v>
      </c>
      <c r="B65" s="4" t="s">
        <v>213</v>
      </c>
      <c r="C65" s="4"/>
      <c r="D65" s="5"/>
      <c r="E65" s="5"/>
      <c r="F65" s="5"/>
      <c r="G65" s="6"/>
      <c r="H65" s="6"/>
      <c r="I65" s="6" t="s">
        <v>18</v>
      </c>
      <c r="J65" s="6"/>
      <c r="K65" s="6"/>
      <c r="L65" s="7"/>
      <c r="M65" s="4" t="s">
        <v>61</v>
      </c>
      <c r="N65" s="4" t="s">
        <v>214</v>
      </c>
      <c r="O65" s="4" t="s">
        <v>215</v>
      </c>
    </row>
    <row r="66" customFormat="false" ht="15" hidden="false" customHeight="false" outlineLevel="0" collapsed="false">
      <c r="A66" s="4" t="n">
        <v>62</v>
      </c>
      <c r="B66" s="4" t="s">
        <v>216</v>
      </c>
      <c r="C66" s="4"/>
      <c r="D66" s="5"/>
      <c r="E66" s="5"/>
      <c r="F66" s="5"/>
      <c r="G66" s="6"/>
      <c r="H66" s="6"/>
      <c r="I66" s="6" t="s">
        <v>18</v>
      </c>
      <c r="J66" s="6"/>
      <c r="K66" s="6"/>
      <c r="L66" s="7"/>
      <c r="M66" s="4" t="s">
        <v>121</v>
      </c>
      <c r="N66" s="4" t="s">
        <v>20</v>
      </c>
      <c r="O66" s="4" t="s">
        <v>217</v>
      </c>
    </row>
    <row r="67" customFormat="false" ht="15" hidden="false" customHeight="false" outlineLevel="0" collapsed="false">
      <c r="A67" s="4" t="n">
        <v>63</v>
      </c>
      <c r="B67" s="4" t="s">
        <v>218</v>
      </c>
      <c r="C67" s="4" t="s">
        <v>218</v>
      </c>
      <c r="D67" s="5"/>
      <c r="E67" s="5"/>
      <c r="F67" s="5"/>
      <c r="G67" s="6"/>
      <c r="H67" s="6"/>
      <c r="I67" s="6" t="s">
        <v>18</v>
      </c>
      <c r="J67" s="6"/>
      <c r="K67" s="6"/>
      <c r="L67" s="7"/>
      <c r="M67" s="4" t="s">
        <v>219</v>
      </c>
      <c r="N67" s="4"/>
      <c r="O67" s="4" t="s">
        <v>220</v>
      </c>
    </row>
    <row r="68" customFormat="false" ht="15" hidden="false" customHeight="false" outlineLevel="0" collapsed="false">
      <c r="A68" s="4" t="n">
        <v>64</v>
      </c>
      <c r="B68" s="4" t="s">
        <v>221</v>
      </c>
      <c r="C68" s="4"/>
      <c r="D68" s="5"/>
      <c r="E68" s="5"/>
      <c r="F68" s="5"/>
      <c r="G68" s="6"/>
      <c r="H68" s="6"/>
      <c r="I68" s="6" t="s">
        <v>18</v>
      </c>
      <c r="J68" s="6"/>
      <c r="K68" s="6"/>
      <c r="L68" s="7"/>
      <c r="M68" s="4" t="s">
        <v>156</v>
      </c>
      <c r="N68" s="4"/>
      <c r="O68" s="4" t="s">
        <v>222</v>
      </c>
    </row>
    <row r="69" customFormat="false" ht="15" hidden="false" customHeight="false" outlineLevel="0" collapsed="false">
      <c r="A69" s="4" t="n">
        <v>65</v>
      </c>
      <c r="B69" s="4" t="s">
        <v>223</v>
      </c>
      <c r="C69" s="4" t="s">
        <v>224</v>
      </c>
      <c r="D69" s="5"/>
      <c r="E69" s="5"/>
      <c r="F69" s="5"/>
      <c r="G69" s="6"/>
      <c r="H69" s="6"/>
      <c r="I69" s="6" t="s">
        <v>18</v>
      </c>
      <c r="J69" s="6"/>
      <c r="K69" s="6"/>
      <c r="L69" s="7"/>
      <c r="M69" s="4" t="s">
        <v>61</v>
      </c>
      <c r="N69" s="4" t="s">
        <v>225</v>
      </c>
      <c r="O69" s="4" t="s">
        <v>226</v>
      </c>
    </row>
    <row r="70" customFormat="false" ht="15" hidden="false" customHeight="false" outlineLevel="0" collapsed="false">
      <c r="A70" s="4" t="n">
        <v>66</v>
      </c>
      <c r="B70" s="4" t="s">
        <v>227</v>
      </c>
      <c r="C70" s="4"/>
      <c r="D70" s="5"/>
      <c r="E70" s="5"/>
      <c r="F70" s="5"/>
      <c r="G70" s="6"/>
      <c r="H70" s="6"/>
      <c r="I70" s="6" t="s">
        <v>18</v>
      </c>
      <c r="J70" s="6"/>
      <c r="K70" s="6"/>
      <c r="L70" s="7"/>
      <c r="M70" s="4" t="s">
        <v>124</v>
      </c>
      <c r="N70" s="4" t="s">
        <v>228</v>
      </c>
      <c r="O70" s="4" t="s">
        <v>229</v>
      </c>
    </row>
    <row r="71" customFormat="false" ht="15" hidden="false" customHeight="false" outlineLevel="0" collapsed="false">
      <c r="A71" s="4" t="n">
        <v>67</v>
      </c>
      <c r="B71" s="4" t="s">
        <v>230</v>
      </c>
      <c r="C71" s="4"/>
      <c r="D71" s="5"/>
      <c r="E71" s="5"/>
      <c r="F71" s="5"/>
      <c r="G71" s="6"/>
      <c r="H71" s="6"/>
      <c r="I71" s="6" t="s">
        <v>18</v>
      </c>
      <c r="J71" s="6"/>
      <c r="K71" s="6"/>
      <c r="L71" s="7"/>
      <c r="M71" s="4" t="s">
        <v>33</v>
      </c>
      <c r="N71" s="4"/>
      <c r="O71" s="4" t="s">
        <v>231</v>
      </c>
    </row>
    <row r="72" customFormat="false" ht="15" hidden="false" customHeight="false" outlineLevel="0" collapsed="false">
      <c r="A72" s="4" t="n">
        <v>68</v>
      </c>
      <c r="B72" s="4" t="s">
        <v>232</v>
      </c>
      <c r="C72" s="4"/>
      <c r="D72" s="5"/>
      <c r="E72" s="5"/>
      <c r="F72" s="5"/>
      <c r="G72" s="6"/>
      <c r="H72" s="6"/>
      <c r="I72" s="6" t="s">
        <v>18</v>
      </c>
      <c r="J72" s="6"/>
      <c r="K72" s="6"/>
      <c r="L72" s="7"/>
      <c r="M72" s="4" t="s">
        <v>89</v>
      </c>
      <c r="N72" s="4" t="s">
        <v>37</v>
      </c>
      <c r="O72" s="4" t="s">
        <v>233</v>
      </c>
    </row>
    <row r="73" customFormat="false" ht="15" hidden="false" customHeight="false" outlineLevel="0" collapsed="false">
      <c r="A73" s="4" t="n">
        <v>69</v>
      </c>
      <c r="B73" s="4" t="s">
        <v>234</v>
      </c>
      <c r="C73" s="4"/>
      <c r="D73" s="5"/>
      <c r="E73" s="5"/>
      <c r="F73" s="5"/>
      <c r="G73" s="6"/>
      <c r="H73" s="6"/>
      <c r="I73" s="6" t="s">
        <v>18</v>
      </c>
      <c r="J73" s="6"/>
      <c r="K73" s="6"/>
      <c r="L73" s="7"/>
      <c r="M73" s="4" t="s">
        <v>61</v>
      </c>
      <c r="N73" s="4"/>
      <c r="O73" s="4" t="s">
        <v>235</v>
      </c>
    </row>
    <row r="74" customFormat="false" ht="15" hidden="false" customHeight="false" outlineLevel="0" collapsed="false">
      <c r="A74" s="4" t="n">
        <v>70</v>
      </c>
      <c r="B74" s="4" t="s">
        <v>236</v>
      </c>
      <c r="C74" s="4"/>
      <c r="D74" s="5"/>
      <c r="E74" s="5"/>
      <c r="F74" s="5"/>
      <c r="G74" s="6"/>
      <c r="H74" s="6"/>
      <c r="I74" s="6" t="s">
        <v>18</v>
      </c>
      <c r="J74" s="6"/>
      <c r="K74" s="6"/>
      <c r="L74" s="7"/>
      <c r="M74" s="4" t="s">
        <v>237</v>
      </c>
      <c r="N74" s="4"/>
      <c r="O74" s="4" t="s">
        <v>238</v>
      </c>
    </row>
    <row r="75" customFormat="false" ht="15" hidden="false" customHeight="false" outlineLevel="0" collapsed="false">
      <c r="A75" s="4" t="n">
        <v>71</v>
      </c>
      <c r="B75" s="4" t="s">
        <v>239</v>
      </c>
      <c r="C75" s="4"/>
      <c r="D75" s="5"/>
      <c r="E75" s="5"/>
      <c r="F75" s="5"/>
      <c r="G75" s="6"/>
      <c r="H75" s="6"/>
      <c r="I75" s="6" t="s">
        <v>18</v>
      </c>
      <c r="J75" s="6"/>
      <c r="K75" s="6"/>
      <c r="L75" s="7"/>
      <c r="M75" s="4" t="s">
        <v>240</v>
      </c>
      <c r="N75" s="4"/>
      <c r="O75" s="4" t="s">
        <v>241</v>
      </c>
    </row>
    <row r="76" customFormat="false" ht="15" hidden="false" customHeight="false" outlineLevel="0" collapsed="false">
      <c r="A76" s="4" t="n">
        <v>72</v>
      </c>
      <c r="B76" s="4" t="s">
        <v>242</v>
      </c>
      <c r="C76" s="4"/>
      <c r="D76" s="5"/>
      <c r="E76" s="5"/>
      <c r="F76" s="5"/>
      <c r="G76" s="6"/>
      <c r="H76" s="6"/>
      <c r="I76" s="6" t="s">
        <v>18</v>
      </c>
      <c r="J76" s="6"/>
      <c r="K76" s="6"/>
      <c r="L76" s="7"/>
      <c r="M76" s="4" t="s">
        <v>61</v>
      </c>
      <c r="N76" s="4"/>
      <c r="O76" s="4" t="s">
        <v>243</v>
      </c>
    </row>
    <row r="77" customFormat="false" ht="15" hidden="false" customHeight="false" outlineLevel="0" collapsed="false">
      <c r="A77" s="4" t="n">
        <v>73</v>
      </c>
      <c r="B77" s="4" t="s">
        <v>244</v>
      </c>
      <c r="C77" s="4"/>
      <c r="D77" s="5"/>
      <c r="E77" s="5"/>
      <c r="F77" s="5"/>
      <c r="G77" s="6"/>
      <c r="H77" s="6"/>
      <c r="I77" s="6" t="s">
        <v>18</v>
      </c>
      <c r="J77" s="6"/>
      <c r="K77" s="6"/>
      <c r="L77" s="7"/>
      <c r="M77" s="4" t="s">
        <v>245</v>
      </c>
      <c r="N77" s="4" t="s">
        <v>246</v>
      </c>
      <c r="O77" s="4" t="s">
        <v>247</v>
      </c>
    </row>
    <row r="78" customFormat="false" ht="15" hidden="false" customHeight="false" outlineLevel="0" collapsed="false">
      <c r="A78" s="4" t="n">
        <v>74</v>
      </c>
      <c r="B78" s="4" t="s">
        <v>248</v>
      </c>
      <c r="C78" s="4"/>
      <c r="D78" s="5"/>
      <c r="E78" s="5"/>
      <c r="F78" s="5"/>
      <c r="G78" s="6"/>
      <c r="H78" s="6"/>
      <c r="I78" s="6" t="s">
        <v>18</v>
      </c>
      <c r="J78" s="6"/>
      <c r="K78" s="6"/>
      <c r="L78" s="7"/>
      <c r="M78" s="4" t="s">
        <v>249</v>
      </c>
      <c r="N78" s="4" t="s">
        <v>250</v>
      </c>
      <c r="O78" s="4" t="s">
        <v>251</v>
      </c>
    </row>
    <row r="79" customFormat="false" ht="15" hidden="false" customHeight="false" outlineLevel="0" collapsed="false">
      <c r="A79" s="4" t="n">
        <v>75</v>
      </c>
      <c r="B79" s="4" t="s">
        <v>252</v>
      </c>
      <c r="C79" s="4"/>
      <c r="D79" s="5"/>
      <c r="E79" s="5"/>
      <c r="F79" s="5"/>
      <c r="G79" s="6"/>
      <c r="H79" s="6"/>
      <c r="I79" s="6" t="s">
        <v>18</v>
      </c>
      <c r="J79" s="6"/>
      <c r="K79" s="6"/>
      <c r="L79" s="7"/>
      <c r="M79" s="4" t="s">
        <v>89</v>
      </c>
      <c r="N79" s="4" t="s">
        <v>37</v>
      </c>
      <c r="O79" s="4" t="s">
        <v>253</v>
      </c>
    </row>
    <row r="80" customFormat="false" ht="15" hidden="false" customHeight="false" outlineLevel="0" collapsed="false">
      <c r="A80" s="4" t="n">
        <v>76</v>
      </c>
      <c r="B80" s="4" t="s">
        <v>254</v>
      </c>
      <c r="C80" s="4" t="s">
        <v>255</v>
      </c>
      <c r="D80" s="5"/>
      <c r="E80" s="5"/>
      <c r="F80" s="5"/>
      <c r="G80" s="6"/>
      <c r="H80" s="6"/>
      <c r="I80" s="6" t="s">
        <v>18</v>
      </c>
      <c r="J80" s="6"/>
      <c r="K80" s="6"/>
      <c r="L80" s="7"/>
      <c r="M80" s="4" t="s">
        <v>86</v>
      </c>
      <c r="N80" s="4" t="s">
        <v>256</v>
      </c>
      <c r="O80" s="4" t="s">
        <v>257</v>
      </c>
    </row>
    <row r="81" customFormat="false" ht="15" hidden="false" customHeight="false" outlineLevel="0" collapsed="false">
      <c r="A81" s="4" t="n">
        <v>77</v>
      </c>
      <c r="B81" s="4" t="s">
        <v>258</v>
      </c>
      <c r="C81" s="4" t="s">
        <v>259</v>
      </c>
      <c r="D81" s="5"/>
      <c r="E81" s="5"/>
      <c r="F81" s="5"/>
      <c r="G81" s="6"/>
      <c r="H81" s="6"/>
      <c r="I81" s="6" t="s">
        <v>18</v>
      </c>
      <c r="J81" s="6"/>
      <c r="K81" s="6"/>
      <c r="L81" s="7"/>
      <c r="M81" s="4" t="s">
        <v>97</v>
      </c>
      <c r="N81" s="4"/>
      <c r="O81" s="4" t="s">
        <v>260</v>
      </c>
    </row>
    <row r="82" customFormat="false" ht="15" hidden="false" customHeight="false" outlineLevel="0" collapsed="false">
      <c r="A82" s="4" t="n">
        <v>78</v>
      </c>
      <c r="B82" s="4" t="s">
        <v>261</v>
      </c>
      <c r="C82" s="4"/>
      <c r="D82" s="5"/>
      <c r="E82" s="5"/>
      <c r="F82" s="5"/>
      <c r="G82" s="6"/>
      <c r="H82" s="6"/>
      <c r="I82" s="6" t="s">
        <v>18</v>
      </c>
      <c r="J82" s="6"/>
      <c r="K82" s="6"/>
      <c r="L82" s="7"/>
      <c r="M82" s="4" t="s">
        <v>65</v>
      </c>
      <c r="N82" s="4"/>
      <c r="O82" s="4" t="s">
        <v>262</v>
      </c>
    </row>
    <row r="83" customFormat="false" ht="15" hidden="false" customHeight="false" outlineLevel="0" collapsed="false">
      <c r="A83" s="4" t="n">
        <v>79</v>
      </c>
      <c r="B83" s="4" t="s">
        <v>263</v>
      </c>
      <c r="C83" s="4" t="s">
        <v>264</v>
      </c>
      <c r="D83" s="5"/>
      <c r="E83" s="5"/>
      <c r="F83" s="5"/>
      <c r="G83" s="6"/>
      <c r="H83" s="6"/>
      <c r="I83" s="6" t="s">
        <v>18</v>
      </c>
      <c r="J83" s="6"/>
      <c r="K83" s="6"/>
      <c r="L83" s="7"/>
      <c r="M83" s="4" t="s">
        <v>33</v>
      </c>
      <c r="N83" s="4"/>
      <c r="O83" s="4" t="s">
        <v>265</v>
      </c>
    </row>
    <row r="84" customFormat="false" ht="15" hidden="false" customHeight="false" outlineLevel="0" collapsed="false">
      <c r="A84" s="4" t="n">
        <v>80</v>
      </c>
      <c r="B84" s="4" t="s">
        <v>266</v>
      </c>
      <c r="C84" s="4"/>
      <c r="D84" s="5"/>
      <c r="E84" s="5"/>
      <c r="F84" s="5"/>
      <c r="G84" s="6"/>
      <c r="H84" s="6"/>
      <c r="I84" s="6" t="s">
        <v>18</v>
      </c>
      <c r="J84" s="6"/>
      <c r="K84" s="6"/>
      <c r="L84" s="7"/>
      <c r="M84" s="4" t="s">
        <v>26</v>
      </c>
      <c r="N84" s="4" t="s">
        <v>267</v>
      </c>
      <c r="O84" s="4" t="s">
        <v>268</v>
      </c>
    </row>
    <row r="85" customFormat="false" ht="15" hidden="false" customHeight="false" outlineLevel="0" collapsed="false">
      <c r="A85" s="4" t="n">
        <v>81</v>
      </c>
      <c r="B85" s="4" t="s">
        <v>269</v>
      </c>
      <c r="C85" s="4"/>
      <c r="D85" s="5"/>
      <c r="E85" s="5"/>
      <c r="F85" s="5"/>
      <c r="G85" s="6"/>
      <c r="H85" s="6"/>
      <c r="I85" s="6" t="s">
        <v>18</v>
      </c>
      <c r="J85" s="6"/>
      <c r="K85" s="6"/>
      <c r="L85" s="7"/>
      <c r="M85" s="4" t="s">
        <v>26</v>
      </c>
      <c r="N85" s="4"/>
      <c r="O85" s="4" t="s">
        <v>270</v>
      </c>
    </row>
    <row r="86" customFormat="false" ht="15" hidden="false" customHeight="false" outlineLevel="0" collapsed="false">
      <c r="A86" s="4" t="n">
        <v>82</v>
      </c>
      <c r="B86" s="4" t="s">
        <v>271</v>
      </c>
      <c r="C86" s="4"/>
      <c r="D86" s="5"/>
      <c r="E86" s="5"/>
      <c r="F86" s="5"/>
      <c r="G86" s="6"/>
      <c r="H86" s="6"/>
      <c r="I86" s="6" t="s">
        <v>18</v>
      </c>
      <c r="J86" s="6"/>
      <c r="K86" s="6"/>
      <c r="L86" s="7"/>
      <c r="M86" s="4" t="s">
        <v>61</v>
      </c>
      <c r="N86" s="4" t="s">
        <v>272</v>
      </c>
      <c r="O86" s="4" t="s">
        <v>273</v>
      </c>
    </row>
    <row r="87" customFormat="false" ht="15" hidden="false" customHeight="false" outlineLevel="0" collapsed="false">
      <c r="A87" s="4" t="n">
        <v>83</v>
      </c>
      <c r="B87" s="4" t="s">
        <v>274</v>
      </c>
      <c r="C87" s="4"/>
      <c r="D87" s="5"/>
      <c r="E87" s="5"/>
      <c r="F87" s="5"/>
      <c r="G87" s="6"/>
      <c r="H87" s="6"/>
      <c r="I87" s="6" t="s">
        <v>18</v>
      </c>
      <c r="J87" s="6"/>
      <c r="K87" s="6"/>
      <c r="L87" s="7"/>
      <c r="M87" s="4" t="s">
        <v>26</v>
      </c>
      <c r="N87" s="4"/>
      <c r="O87" s="4" t="s">
        <v>275</v>
      </c>
    </row>
    <row r="88" customFormat="false" ht="15" hidden="false" customHeight="false" outlineLevel="0" collapsed="false">
      <c r="A88" s="4" t="n">
        <v>84</v>
      </c>
      <c r="B88" s="4" t="s">
        <v>276</v>
      </c>
      <c r="C88" s="4"/>
      <c r="D88" s="5"/>
      <c r="E88" s="5"/>
      <c r="F88" s="5"/>
      <c r="G88" s="6"/>
      <c r="H88" s="6"/>
      <c r="I88" s="6" t="s">
        <v>18</v>
      </c>
      <c r="J88" s="6"/>
      <c r="K88" s="6"/>
      <c r="L88" s="7"/>
      <c r="M88" s="4" t="s">
        <v>205</v>
      </c>
      <c r="N88" s="4" t="s">
        <v>277</v>
      </c>
      <c r="O88" s="4" t="s">
        <v>278</v>
      </c>
    </row>
    <row r="89" customFormat="false" ht="15" hidden="false" customHeight="false" outlineLevel="0" collapsed="false">
      <c r="A89" s="4" t="n">
        <v>85</v>
      </c>
      <c r="B89" s="4" t="s">
        <v>279</v>
      </c>
      <c r="C89" s="4"/>
      <c r="D89" s="5"/>
      <c r="E89" s="5"/>
      <c r="F89" s="5"/>
      <c r="G89" s="6"/>
      <c r="H89" s="6"/>
      <c r="I89" s="6" t="s">
        <v>18</v>
      </c>
      <c r="J89" s="6"/>
      <c r="K89" s="6"/>
      <c r="L89" s="7"/>
      <c r="M89" s="4" t="s">
        <v>26</v>
      </c>
      <c r="N89" s="4"/>
      <c r="O89" s="4" t="s">
        <v>280</v>
      </c>
    </row>
    <row r="90" customFormat="false" ht="15" hidden="false" customHeight="false" outlineLevel="0" collapsed="false">
      <c r="A90" s="4" t="n">
        <v>86</v>
      </c>
      <c r="B90" s="4" t="s">
        <v>281</v>
      </c>
      <c r="C90" s="4"/>
      <c r="D90" s="5"/>
      <c r="E90" s="5"/>
      <c r="F90" s="5"/>
      <c r="G90" s="6"/>
      <c r="H90" s="6"/>
      <c r="I90" s="6" t="s">
        <v>18</v>
      </c>
      <c r="J90" s="6"/>
      <c r="K90" s="6"/>
      <c r="L90" s="7"/>
      <c r="M90" s="4" t="s">
        <v>282</v>
      </c>
      <c r="N90" s="4"/>
      <c r="O90" s="4" t="s">
        <v>283</v>
      </c>
    </row>
    <row r="91" customFormat="false" ht="15" hidden="false" customHeight="false" outlineLevel="0" collapsed="false">
      <c r="A91" s="4" t="n">
        <v>87</v>
      </c>
      <c r="B91" s="4" t="s">
        <v>284</v>
      </c>
      <c r="C91" s="4" t="s">
        <v>285</v>
      </c>
      <c r="D91" s="5"/>
      <c r="E91" s="5"/>
      <c r="F91" s="5"/>
      <c r="G91" s="6"/>
      <c r="H91" s="6"/>
      <c r="I91" s="6" t="s">
        <v>18</v>
      </c>
      <c r="J91" s="6"/>
      <c r="K91" s="6"/>
      <c r="L91" s="7"/>
      <c r="M91" s="4" t="s">
        <v>286</v>
      </c>
      <c r="N91" s="4"/>
      <c r="O91" s="4" t="s">
        <v>287</v>
      </c>
    </row>
    <row r="92" customFormat="false" ht="15" hidden="false" customHeight="false" outlineLevel="0" collapsed="false">
      <c r="A92" s="4" t="n">
        <v>88</v>
      </c>
      <c r="B92" s="4" t="s">
        <v>288</v>
      </c>
      <c r="C92" s="4" t="s">
        <v>289</v>
      </c>
      <c r="D92" s="5"/>
      <c r="E92" s="5"/>
      <c r="F92" s="5"/>
      <c r="G92" s="6"/>
      <c r="H92" s="6"/>
      <c r="I92" s="6" t="s">
        <v>18</v>
      </c>
      <c r="J92" s="6"/>
      <c r="K92" s="6"/>
      <c r="L92" s="7"/>
      <c r="M92" s="4" t="s">
        <v>86</v>
      </c>
      <c r="N92" s="4"/>
      <c r="O92" s="4" t="s">
        <v>290</v>
      </c>
    </row>
    <row r="93" customFormat="false" ht="15" hidden="false" customHeight="false" outlineLevel="0" collapsed="false">
      <c r="A93" s="4" t="n">
        <v>89</v>
      </c>
      <c r="B93" s="4" t="s">
        <v>291</v>
      </c>
      <c r="C93" s="4"/>
      <c r="D93" s="5"/>
      <c r="E93" s="5"/>
      <c r="F93" s="5"/>
      <c r="G93" s="6"/>
      <c r="H93" s="6"/>
      <c r="I93" s="6" t="s">
        <v>18</v>
      </c>
      <c r="J93" s="6"/>
      <c r="K93" s="6"/>
      <c r="L93" s="7"/>
      <c r="M93" s="4" t="s">
        <v>147</v>
      </c>
      <c r="N93" s="4" t="s">
        <v>98</v>
      </c>
      <c r="O93" s="4" t="s">
        <v>292</v>
      </c>
    </row>
    <row r="94" customFormat="false" ht="15" hidden="false" customHeight="false" outlineLevel="0" collapsed="false">
      <c r="A94" s="4" t="n">
        <v>90</v>
      </c>
      <c r="B94" s="4" t="s">
        <v>293</v>
      </c>
      <c r="C94" s="4"/>
      <c r="D94" s="5"/>
      <c r="E94" s="5"/>
      <c r="F94" s="5"/>
      <c r="G94" s="6"/>
      <c r="H94" s="6"/>
      <c r="I94" s="6" t="s">
        <v>18</v>
      </c>
      <c r="J94" s="6"/>
      <c r="K94" s="6"/>
      <c r="L94" s="7"/>
      <c r="M94" s="4" t="s">
        <v>61</v>
      </c>
      <c r="N94" s="4" t="s">
        <v>294</v>
      </c>
      <c r="O94" s="4" t="s">
        <v>295</v>
      </c>
    </row>
    <row r="95" customFormat="false" ht="15" hidden="false" customHeight="false" outlineLevel="0" collapsed="false">
      <c r="A95" s="4" t="n">
        <v>91</v>
      </c>
      <c r="B95" s="4" t="s">
        <v>296</v>
      </c>
      <c r="C95" s="4"/>
      <c r="D95" s="5"/>
      <c r="E95" s="5"/>
      <c r="F95" s="5"/>
      <c r="G95" s="6"/>
      <c r="H95" s="6"/>
      <c r="I95" s="6" t="s">
        <v>18</v>
      </c>
      <c r="J95" s="6"/>
      <c r="K95" s="6"/>
      <c r="L95" s="7"/>
      <c r="M95" s="4" t="s">
        <v>205</v>
      </c>
      <c r="N95" s="4" t="s">
        <v>297</v>
      </c>
      <c r="O95" s="4" t="s">
        <v>298</v>
      </c>
    </row>
    <row r="96" customFormat="false" ht="15" hidden="false" customHeight="false" outlineLevel="0" collapsed="false">
      <c r="A96" s="4" t="n">
        <v>92</v>
      </c>
      <c r="B96" s="4" t="s">
        <v>299</v>
      </c>
      <c r="C96" s="4"/>
      <c r="D96" s="5"/>
      <c r="E96" s="5"/>
      <c r="F96" s="5"/>
      <c r="G96" s="6"/>
      <c r="H96" s="6"/>
      <c r="I96" s="6" t="s">
        <v>18</v>
      </c>
      <c r="J96" s="6"/>
      <c r="K96" s="6"/>
      <c r="L96" s="7"/>
      <c r="M96" s="4" t="s">
        <v>89</v>
      </c>
      <c r="N96" s="4"/>
      <c r="O96" s="4" t="s">
        <v>300</v>
      </c>
    </row>
    <row r="97" customFormat="false" ht="15" hidden="false" customHeight="false" outlineLevel="0" collapsed="false">
      <c r="A97" s="4" t="n">
        <v>93</v>
      </c>
      <c r="B97" s="4" t="s">
        <v>301</v>
      </c>
      <c r="C97" s="4"/>
      <c r="D97" s="5"/>
      <c r="E97" s="5"/>
      <c r="F97" s="5"/>
      <c r="G97" s="6"/>
      <c r="H97" s="6"/>
      <c r="I97" s="6" t="s">
        <v>18</v>
      </c>
      <c r="J97" s="6"/>
      <c r="K97" s="6"/>
      <c r="L97" s="7"/>
      <c r="M97" s="4" t="s">
        <v>302</v>
      </c>
      <c r="N97" s="4"/>
      <c r="O97" s="4" t="s">
        <v>303</v>
      </c>
    </row>
    <row r="98" customFormat="false" ht="15" hidden="false" customHeight="false" outlineLevel="0" collapsed="false">
      <c r="A98" s="4" t="n">
        <v>94</v>
      </c>
      <c r="B98" s="4" t="s">
        <v>304</v>
      </c>
      <c r="C98" s="4" t="s">
        <v>305</v>
      </c>
      <c r="D98" s="5"/>
      <c r="E98" s="5"/>
      <c r="F98" s="5"/>
      <c r="G98" s="6"/>
      <c r="H98" s="6"/>
      <c r="I98" s="6" t="s">
        <v>18</v>
      </c>
      <c r="J98" s="6"/>
      <c r="K98" s="6"/>
      <c r="L98" s="7"/>
      <c r="M98" s="4" t="s">
        <v>306</v>
      </c>
      <c r="N98" s="4"/>
      <c r="O98" s="4" t="s">
        <v>307</v>
      </c>
    </row>
    <row r="99" customFormat="false" ht="15" hidden="false" customHeight="false" outlineLevel="0" collapsed="false">
      <c r="A99" s="4" t="n">
        <v>95</v>
      </c>
      <c r="B99" s="4" t="s">
        <v>308</v>
      </c>
      <c r="C99" s="4" t="s">
        <v>309</v>
      </c>
      <c r="D99" s="5"/>
      <c r="E99" s="5"/>
      <c r="F99" s="5"/>
      <c r="G99" s="6"/>
      <c r="H99" s="6"/>
      <c r="I99" s="6" t="s">
        <v>18</v>
      </c>
      <c r="J99" s="6"/>
      <c r="K99" s="6"/>
      <c r="L99" s="7"/>
      <c r="M99" s="4" t="s">
        <v>205</v>
      </c>
      <c r="N99" s="4"/>
      <c r="O99" s="4" t="s">
        <v>310</v>
      </c>
    </row>
    <row r="100" customFormat="false" ht="15" hidden="false" customHeight="false" outlineLevel="0" collapsed="false">
      <c r="A100" s="4" t="n">
        <v>96</v>
      </c>
      <c r="B100" s="4" t="s">
        <v>311</v>
      </c>
      <c r="C100" s="4"/>
      <c r="D100" s="5"/>
      <c r="E100" s="5"/>
      <c r="F100" s="5"/>
      <c r="G100" s="6"/>
      <c r="H100" s="6"/>
      <c r="I100" s="6" t="s">
        <v>18</v>
      </c>
      <c r="J100" s="6"/>
      <c r="K100" s="6"/>
      <c r="L100" s="7"/>
      <c r="M100" s="4" t="s">
        <v>205</v>
      </c>
      <c r="N100" s="4"/>
      <c r="O100" s="4" t="s">
        <v>312</v>
      </c>
    </row>
    <row r="101" customFormat="false" ht="15" hidden="false" customHeight="false" outlineLevel="0" collapsed="false">
      <c r="A101" s="4" t="n">
        <v>97</v>
      </c>
      <c r="B101" s="4" t="s">
        <v>313</v>
      </c>
      <c r="C101" s="4"/>
      <c r="D101" s="5"/>
      <c r="E101" s="5"/>
      <c r="F101" s="5"/>
      <c r="G101" s="6"/>
      <c r="H101" s="6"/>
      <c r="I101" s="6" t="s">
        <v>18</v>
      </c>
      <c r="J101" s="6"/>
      <c r="K101" s="6"/>
      <c r="L101" s="7"/>
      <c r="M101" s="4" t="s">
        <v>314</v>
      </c>
      <c r="N101" s="4"/>
      <c r="O101" s="4" t="s">
        <v>315</v>
      </c>
    </row>
    <row r="102" customFormat="false" ht="15" hidden="false" customHeight="false" outlineLevel="0" collapsed="false">
      <c r="A102" s="4" t="n">
        <v>98</v>
      </c>
      <c r="B102" s="4" t="s">
        <v>316</v>
      </c>
      <c r="C102" s="4"/>
      <c r="D102" s="5"/>
      <c r="E102" s="5"/>
      <c r="F102" s="5"/>
      <c r="G102" s="6"/>
      <c r="H102" s="6"/>
      <c r="I102" s="6" t="s">
        <v>18</v>
      </c>
      <c r="J102" s="6"/>
      <c r="K102" s="6"/>
      <c r="L102" s="7"/>
      <c r="M102" s="4" t="s">
        <v>317</v>
      </c>
      <c r="N102" s="4"/>
      <c r="O102" s="4" t="s">
        <v>318</v>
      </c>
    </row>
    <row r="103" customFormat="false" ht="15" hidden="false" customHeight="false" outlineLevel="0" collapsed="false">
      <c r="A103" s="4" t="n">
        <v>99</v>
      </c>
      <c r="B103" s="4" t="s">
        <v>319</v>
      </c>
      <c r="C103" s="4"/>
      <c r="D103" s="5"/>
      <c r="E103" s="5"/>
      <c r="F103" s="5"/>
      <c r="G103" s="6"/>
      <c r="H103" s="6"/>
      <c r="I103" s="6" t="s">
        <v>18</v>
      </c>
      <c r="J103" s="6"/>
      <c r="K103" s="6"/>
      <c r="L103" s="7"/>
      <c r="M103" s="4" t="s">
        <v>61</v>
      </c>
      <c r="N103" s="4"/>
      <c r="O103" s="4" t="s">
        <v>320</v>
      </c>
    </row>
    <row r="104" customFormat="false" ht="15" hidden="false" customHeight="false" outlineLevel="0" collapsed="false">
      <c r="A104" s="4" t="n">
        <v>100</v>
      </c>
      <c r="B104" s="4" t="s">
        <v>321</v>
      </c>
      <c r="C104" s="4"/>
      <c r="D104" s="5"/>
      <c r="E104" s="5"/>
      <c r="F104" s="5"/>
      <c r="G104" s="6"/>
      <c r="H104" s="6"/>
      <c r="I104" s="6" t="s">
        <v>18</v>
      </c>
      <c r="J104" s="6"/>
      <c r="K104" s="6"/>
      <c r="L104" s="7"/>
      <c r="M104" s="4" t="s">
        <v>322</v>
      </c>
      <c r="N104" s="4"/>
      <c r="O104" s="4" t="s">
        <v>323</v>
      </c>
    </row>
    <row r="105" customFormat="false" ht="15" hidden="false" customHeight="false" outlineLevel="0" collapsed="false">
      <c r="A105" s="4" t="n">
        <v>101</v>
      </c>
      <c r="B105" s="4" t="s">
        <v>324</v>
      </c>
      <c r="C105" s="4"/>
      <c r="D105" s="5"/>
      <c r="E105" s="5"/>
      <c r="F105" s="5"/>
      <c r="G105" s="6"/>
      <c r="H105" s="6"/>
      <c r="I105" s="6" t="s">
        <v>18</v>
      </c>
      <c r="J105" s="6"/>
      <c r="K105" s="6"/>
      <c r="L105" s="7"/>
      <c r="M105" s="4" t="s">
        <v>205</v>
      </c>
      <c r="N105" s="4" t="s">
        <v>325</v>
      </c>
      <c r="O105" s="4" t="s">
        <v>326</v>
      </c>
    </row>
    <row r="106" customFormat="false" ht="15" hidden="false" customHeight="false" outlineLevel="0" collapsed="false">
      <c r="A106" s="4" t="n">
        <v>102</v>
      </c>
      <c r="B106" s="4" t="s">
        <v>327</v>
      </c>
      <c r="C106" s="4"/>
      <c r="D106" s="5"/>
      <c r="E106" s="5"/>
      <c r="F106" s="5"/>
      <c r="G106" s="6"/>
      <c r="H106" s="6"/>
      <c r="I106" s="6" t="s">
        <v>18</v>
      </c>
      <c r="J106" s="6"/>
      <c r="K106" s="6"/>
      <c r="L106" s="7"/>
      <c r="M106" s="4" t="s">
        <v>61</v>
      </c>
      <c r="N106" s="4"/>
      <c r="O106" s="4" t="s">
        <v>328</v>
      </c>
    </row>
    <row r="107" customFormat="false" ht="15" hidden="false" customHeight="false" outlineLevel="0" collapsed="false">
      <c r="A107" s="4" t="n">
        <v>103</v>
      </c>
      <c r="B107" s="4" t="s">
        <v>329</v>
      </c>
      <c r="C107" s="4"/>
      <c r="D107" s="5"/>
      <c r="E107" s="5"/>
      <c r="F107" s="5"/>
      <c r="G107" s="6"/>
      <c r="H107" s="6"/>
      <c r="I107" s="6" t="s">
        <v>18</v>
      </c>
      <c r="J107" s="6"/>
      <c r="K107" s="6"/>
      <c r="L107" s="7"/>
      <c r="M107" s="4" t="s">
        <v>144</v>
      </c>
      <c r="N107" s="4"/>
      <c r="O107" s="4" t="s">
        <v>330</v>
      </c>
    </row>
    <row r="108" customFormat="false" ht="15" hidden="false" customHeight="false" outlineLevel="0" collapsed="false">
      <c r="A108" s="4" t="n">
        <v>104</v>
      </c>
      <c r="B108" s="4" t="s">
        <v>331</v>
      </c>
      <c r="C108" s="4"/>
      <c r="D108" s="5"/>
      <c r="E108" s="5"/>
      <c r="F108" s="5"/>
      <c r="G108" s="6"/>
      <c r="H108" s="6"/>
      <c r="I108" s="6" t="s">
        <v>18</v>
      </c>
      <c r="J108" s="6"/>
      <c r="K108" s="6"/>
      <c r="L108" s="7"/>
      <c r="M108" s="4" t="s">
        <v>332</v>
      </c>
      <c r="N108" s="4"/>
      <c r="O108" s="4" t="s">
        <v>333</v>
      </c>
    </row>
    <row r="109" customFormat="false" ht="15" hidden="false" customHeight="false" outlineLevel="0" collapsed="false">
      <c r="A109" s="4" t="n">
        <v>105</v>
      </c>
      <c r="B109" s="4" t="s">
        <v>334</v>
      </c>
      <c r="C109" s="4"/>
      <c r="D109" s="5"/>
      <c r="E109" s="5"/>
      <c r="F109" s="5"/>
      <c r="G109" s="6"/>
      <c r="H109" s="6"/>
      <c r="I109" s="6" t="s">
        <v>18</v>
      </c>
      <c r="J109" s="6"/>
      <c r="K109" s="6"/>
      <c r="L109" s="7"/>
      <c r="M109" s="4" t="s">
        <v>322</v>
      </c>
      <c r="N109" s="4" t="s">
        <v>206</v>
      </c>
      <c r="O109" s="4" t="s">
        <v>335</v>
      </c>
    </row>
    <row r="110" customFormat="false" ht="15" hidden="false" customHeight="false" outlineLevel="0" collapsed="false">
      <c r="A110" s="4" t="n">
        <v>106</v>
      </c>
      <c r="B110" s="4" t="s">
        <v>336</v>
      </c>
      <c r="C110" s="4"/>
      <c r="D110" s="5"/>
      <c r="E110" s="5"/>
      <c r="F110" s="5"/>
      <c r="G110" s="6"/>
      <c r="H110" s="6"/>
      <c r="I110" s="6" t="s">
        <v>18</v>
      </c>
      <c r="J110" s="6"/>
      <c r="K110" s="6"/>
      <c r="L110" s="7"/>
      <c r="M110" s="4" t="s">
        <v>33</v>
      </c>
      <c r="N110" s="4"/>
      <c r="O110" s="4" t="s">
        <v>337</v>
      </c>
    </row>
    <row r="111" customFormat="false" ht="15" hidden="false" customHeight="false" outlineLevel="0" collapsed="false">
      <c r="A111" s="4" t="n">
        <v>107</v>
      </c>
      <c r="B111" s="4" t="s">
        <v>338</v>
      </c>
      <c r="C111" s="4"/>
      <c r="D111" s="5"/>
      <c r="E111" s="5"/>
      <c r="F111" s="5"/>
      <c r="G111" s="6"/>
      <c r="H111" s="6"/>
      <c r="I111" s="6" t="s">
        <v>18</v>
      </c>
      <c r="J111" s="6"/>
      <c r="K111" s="6"/>
      <c r="L111" s="7"/>
      <c r="M111" s="4" t="s">
        <v>162</v>
      </c>
      <c r="N111" s="4"/>
      <c r="O111" s="4" t="s">
        <v>339</v>
      </c>
    </row>
    <row r="112" customFormat="false" ht="15" hidden="false" customHeight="false" outlineLevel="0" collapsed="false">
      <c r="A112" s="4" t="n">
        <v>108</v>
      </c>
      <c r="B112" s="4" t="s">
        <v>340</v>
      </c>
      <c r="C112" s="4"/>
      <c r="D112" s="5"/>
      <c r="E112" s="5"/>
      <c r="F112" s="5"/>
      <c r="G112" s="6"/>
      <c r="H112" s="6"/>
      <c r="I112" s="6" t="s">
        <v>18</v>
      </c>
      <c r="J112" s="6"/>
      <c r="K112" s="6"/>
      <c r="L112" s="7"/>
      <c r="M112" s="4" t="s">
        <v>341</v>
      </c>
      <c r="N112" s="4"/>
      <c r="O112" s="4" t="s">
        <v>342</v>
      </c>
    </row>
    <row r="113" customFormat="false" ht="15" hidden="false" customHeight="false" outlineLevel="0" collapsed="false">
      <c r="A113" s="4" t="n">
        <v>109</v>
      </c>
      <c r="B113" s="4" t="s">
        <v>343</v>
      </c>
      <c r="C113" s="4" t="s">
        <v>344</v>
      </c>
      <c r="D113" s="5"/>
      <c r="E113" s="5"/>
      <c r="F113" s="5"/>
      <c r="G113" s="6"/>
      <c r="H113" s="6"/>
      <c r="I113" s="6" t="s">
        <v>18</v>
      </c>
      <c r="J113" s="6"/>
      <c r="K113" s="6"/>
      <c r="L113" s="7"/>
      <c r="M113" s="4" t="s">
        <v>89</v>
      </c>
      <c r="N113" s="4"/>
      <c r="O113" s="4" t="s">
        <v>345</v>
      </c>
    </row>
    <row r="114" customFormat="false" ht="15" hidden="false" customHeight="false" outlineLevel="0" collapsed="false">
      <c r="A114" s="4" t="n">
        <v>110</v>
      </c>
      <c r="B114" s="4" t="s">
        <v>346</v>
      </c>
      <c r="C114" s="4"/>
      <c r="D114" s="5"/>
      <c r="E114" s="5"/>
      <c r="F114" s="5"/>
      <c r="G114" s="6"/>
      <c r="H114" s="6"/>
      <c r="I114" s="6" t="s">
        <v>18</v>
      </c>
      <c r="J114" s="6"/>
      <c r="K114" s="6"/>
      <c r="L114" s="7"/>
      <c r="M114" s="4" t="s">
        <v>65</v>
      </c>
      <c r="N114" s="4"/>
      <c r="O114" s="4" t="s">
        <v>347</v>
      </c>
    </row>
    <row r="115" customFormat="false" ht="15" hidden="false" customHeight="false" outlineLevel="0" collapsed="false">
      <c r="A115" s="4" t="n">
        <v>111</v>
      </c>
      <c r="B115" s="4" t="s">
        <v>348</v>
      </c>
      <c r="C115" s="4" t="s">
        <v>349</v>
      </c>
      <c r="D115" s="5"/>
      <c r="E115" s="5"/>
      <c r="F115" s="5"/>
      <c r="G115" s="6"/>
      <c r="H115" s="6"/>
      <c r="I115" s="6" t="s">
        <v>18</v>
      </c>
      <c r="J115" s="6"/>
      <c r="K115" s="6"/>
      <c r="L115" s="7"/>
      <c r="M115" s="4" t="s">
        <v>61</v>
      </c>
      <c r="N115" s="4"/>
      <c r="O115" s="4" t="s">
        <v>350</v>
      </c>
    </row>
    <row r="116" customFormat="false" ht="15" hidden="false" customHeight="false" outlineLevel="0" collapsed="false">
      <c r="A116" s="4" t="n">
        <v>112</v>
      </c>
      <c r="B116" s="4" t="s">
        <v>351</v>
      </c>
      <c r="C116" s="4"/>
      <c r="D116" s="5"/>
      <c r="E116" s="5"/>
      <c r="F116" s="5"/>
      <c r="G116" s="6"/>
      <c r="H116" s="6"/>
      <c r="I116" s="6" t="s">
        <v>18</v>
      </c>
      <c r="J116" s="6"/>
      <c r="K116" s="6"/>
      <c r="L116" s="7"/>
      <c r="M116" s="4" t="s">
        <v>352</v>
      </c>
      <c r="N116" s="4"/>
      <c r="O116" s="4" t="s">
        <v>353</v>
      </c>
    </row>
    <row r="117" customFormat="false" ht="15" hidden="false" customHeight="false" outlineLevel="0" collapsed="false">
      <c r="A117" s="4" t="n">
        <v>113</v>
      </c>
      <c r="B117" s="4" t="s">
        <v>354</v>
      </c>
      <c r="C117" s="4"/>
      <c r="D117" s="5"/>
      <c r="E117" s="5"/>
      <c r="F117" s="5"/>
      <c r="G117" s="6"/>
      <c r="H117" s="6"/>
      <c r="I117" s="6" t="s">
        <v>18</v>
      </c>
      <c r="J117" s="6"/>
      <c r="K117" s="6"/>
      <c r="L117" s="7"/>
      <c r="M117" s="4" t="s">
        <v>355</v>
      </c>
      <c r="N117" s="4"/>
      <c r="O117" s="4" t="s">
        <v>356</v>
      </c>
    </row>
    <row r="118" customFormat="false" ht="15" hidden="false" customHeight="false" outlineLevel="0" collapsed="false">
      <c r="A118" s="4" t="n">
        <v>114</v>
      </c>
      <c r="B118" s="4" t="s">
        <v>357</v>
      </c>
      <c r="C118" s="4"/>
      <c r="D118" s="5"/>
      <c r="E118" s="5"/>
      <c r="F118" s="5"/>
      <c r="G118" s="6"/>
      <c r="H118" s="6"/>
      <c r="I118" s="6" t="s">
        <v>18</v>
      </c>
      <c r="J118" s="6"/>
      <c r="K118" s="6"/>
      <c r="L118" s="7"/>
      <c r="M118" s="4" t="s">
        <v>358</v>
      </c>
      <c r="N118" s="4"/>
      <c r="O118" s="4" t="s">
        <v>359</v>
      </c>
    </row>
    <row r="119" customFormat="false" ht="15" hidden="false" customHeight="false" outlineLevel="0" collapsed="false">
      <c r="A119" s="4" t="n">
        <v>115</v>
      </c>
      <c r="B119" s="4" t="s">
        <v>360</v>
      </c>
      <c r="C119" s="4"/>
      <c r="D119" s="5"/>
      <c r="E119" s="5"/>
      <c r="F119" s="5"/>
      <c r="G119" s="6"/>
      <c r="H119" s="6"/>
      <c r="I119" s="6" t="s">
        <v>18</v>
      </c>
      <c r="J119" s="6"/>
      <c r="K119" s="6"/>
      <c r="L119" s="7"/>
      <c r="M119" s="4" t="s">
        <v>361</v>
      </c>
      <c r="N119" s="4" t="s">
        <v>362</v>
      </c>
      <c r="O119" s="4" t="s">
        <v>363</v>
      </c>
    </row>
    <row r="120" customFormat="false" ht="15" hidden="false" customHeight="false" outlineLevel="0" collapsed="false">
      <c r="A120" s="4" t="n">
        <v>116</v>
      </c>
      <c r="B120" s="4" t="s">
        <v>364</v>
      </c>
      <c r="C120" s="4"/>
      <c r="D120" s="5"/>
      <c r="E120" s="5"/>
      <c r="F120" s="5"/>
      <c r="G120" s="6"/>
      <c r="H120" s="6"/>
      <c r="I120" s="6" t="s">
        <v>18</v>
      </c>
      <c r="J120" s="6"/>
      <c r="K120" s="6"/>
      <c r="L120" s="7"/>
      <c r="M120" s="4" t="s">
        <v>176</v>
      </c>
      <c r="N120" s="4"/>
      <c r="O120" s="4" t="s">
        <v>365</v>
      </c>
    </row>
    <row r="121" customFormat="false" ht="15" hidden="false" customHeight="false" outlineLevel="0" collapsed="false">
      <c r="A121" s="4" t="n">
        <v>117</v>
      </c>
      <c r="B121" s="4" t="s">
        <v>366</v>
      </c>
      <c r="C121" s="4"/>
      <c r="D121" s="5"/>
      <c r="E121" s="5"/>
      <c r="F121" s="5"/>
      <c r="G121" s="6"/>
      <c r="H121" s="6"/>
      <c r="I121" s="6" t="s">
        <v>18</v>
      </c>
      <c r="J121" s="6"/>
      <c r="K121" s="6"/>
      <c r="L121" s="7"/>
      <c r="M121" s="4" t="s">
        <v>26</v>
      </c>
      <c r="N121" s="4"/>
      <c r="O121" s="4" t="s">
        <v>367</v>
      </c>
    </row>
    <row r="122" customFormat="false" ht="15" hidden="false" customHeight="false" outlineLevel="0" collapsed="false">
      <c r="A122" s="4" t="n">
        <v>118</v>
      </c>
      <c r="B122" s="4" t="s">
        <v>368</v>
      </c>
      <c r="C122" s="4"/>
      <c r="D122" s="5"/>
      <c r="E122" s="5"/>
      <c r="F122" s="5"/>
      <c r="G122" s="6"/>
      <c r="H122" s="6"/>
      <c r="I122" s="6" t="s">
        <v>18</v>
      </c>
      <c r="J122" s="6"/>
      <c r="K122" s="6"/>
      <c r="L122" s="7"/>
      <c r="M122" s="4" t="s">
        <v>369</v>
      </c>
      <c r="N122" s="4"/>
      <c r="O122" s="4" t="s">
        <v>370</v>
      </c>
    </row>
    <row r="123" customFormat="false" ht="15" hidden="false" customHeight="false" outlineLevel="0" collapsed="false">
      <c r="A123" s="4" t="n">
        <v>119</v>
      </c>
      <c r="B123" s="4" t="s">
        <v>371</v>
      </c>
      <c r="C123" s="4"/>
      <c r="D123" s="5"/>
      <c r="E123" s="5"/>
      <c r="F123" s="5"/>
      <c r="G123" s="6"/>
      <c r="H123" s="6"/>
      <c r="I123" s="6" t="s">
        <v>18</v>
      </c>
      <c r="J123" s="6"/>
      <c r="K123" s="6"/>
      <c r="L123" s="7"/>
      <c r="M123" s="4" t="s">
        <v>372</v>
      </c>
      <c r="N123" s="4"/>
      <c r="O123" s="4" t="s">
        <v>373</v>
      </c>
    </row>
    <row r="124" customFormat="false" ht="15" hidden="false" customHeight="false" outlineLevel="0" collapsed="false">
      <c r="A124" s="4" t="n">
        <v>120</v>
      </c>
      <c r="B124" s="4" t="s">
        <v>374</v>
      </c>
      <c r="C124" s="4"/>
      <c r="D124" s="5"/>
      <c r="E124" s="5"/>
      <c r="F124" s="5"/>
      <c r="G124" s="6"/>
      <c r="H124" s="6"/>
      <c r="I124" s="6" t="s">
        <v>18</v>
      </c>
      <c r="J124" s="6"/>
      <c r="K124" s="6"/>
      <c r="L124" s="7"/>
      <c r="M124" s="4" t="s">
        <v>48</v>
      </c>
      <c r="N124" s="4"/>
      <c r="O124" s="4" t="s">
        <v>375</v>
      </c>
    </row>
    <row r="125" customFormat="false" ht="15" hidden="false" customHeight="false" outlineLevel="0" collapsed="false">
      <c r="A125" s="4" t="n">
        <v>121</v>
      </c>
      <c r="B125" s="4" t="s">
        <v>376</v>
      </c>
      <c r="C125" s="4" t="s">
        <v>377</v>
      </c>
      <c r="D125" s="5"/>
      <c r="E125" s="5"/>
      <c r="F125" s="5"/>
      <c r="G125" s="6"/>
      <c r="H125" s="6"/>
      <c r="I125" s="6" t="s">
        <v>18</v>
      </c>
      <c r="J125" s="6"/>
      <c r="K125" s="6"/>
      <c r="L125" s="7"/>
      <c r="M125" s="4" t="s">
        <v>378</v>
      </c>
      <c r="N125" s="4"/>
      <c r="O125" s="4" t="s">
        <v>379</v>
      </c>
    </row>
  </sheetData>
  <autoFilter ref="A4:O125"/>
  <mergeCells count="1">
    <mergeCell ref="A2:O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4"/>
  </cols>
  <sheetData>
    <row r="1" customFormat="false" ht="17.35" hidden="false" customHeight="false" outlineLevel="0" collapsed="false">
      <c r="A1" s="1" t="s">
        <v>380</v>
      </c>
    </row>
    <row r="3" customFormat="false" ht="15" hidden="false" customHeight="false" outlineLevel="0" collapsed="false">
      <c r="A3" s="9" t="s">
        <v>381</v>
      </c>
      <c r="B3" s="9" t="s">
        <v>382</v>
      </c>
    </row>
    <row r="4" customFormat="false" ht="15" hidden="false" customHeight="false" outlineLevel="0" collapsed="false">
      <c r="A4" s="10" t="s">
        <v>383</v>
      </c>
      <c r="B4" s="10" t="n">
        <f aca="false">COUNTA(Prospects!B5:B125)</f>
        <v>121</v>
      </c>
    </row>
    <row r="5" customFormat="false" ht="15" hidden="false" customHeight="false" outlineLevel="0" collapsed="false">
      <c r="A5" s="10" t="s">
        <v>384</v>
      </c>
      <c r="B5" s="10" t="n">
        <f aca="false">COUNTIF(Prospects!C5:C125,"?*")</f>
        <v>24</v>
      </c>
    </row>
    <row r="6" customFormat="false" ht="15" hidden="false" customHeight="false" outlineLevel="0" collapsed="false">
      <c r="A6" s="10" t="s">
        <v>385</v>
      </c>
      <c r="B6" s="10" t="n">
        <f aca="false">COUNTIF(Prospects!F5:F125,"?*")</f>
        <v>1</v>
      </c>
    </row>
    <row r="7" customFormat="false" ht="15" hidden="false" customHeight="false" outlineLevel="0" collapsed="false">
      <c r="A7" s="10" t="s">
        <v>386</v>
      </c>
      <c r="B7" s="10" t="n">
        <f aca="false">COUNTIF(Prospects!J5:J125,"?*")</f>
        <v>0</v>
      </c>
    </row>
    <row r="8" customFormat="false" ht="15" hidden="false" customHeight="false" outlineLevel="0" collapsed="false">
      <c r="A8" s="10" t="s">
        <v>387</v>
      </c>
      <c r="B8" s="10" t="n">
        <f aca="false">COUNTIF(Prospects!K5:K125,"?*")</f>
        <v>0</v>
      </c>
    </row>
    <row r="9" customFormat="false" ht="15" hidden="false" customHeight="false" outlineLevel="0" collapsed="false">
      <c r="A9" s="10" t="s">
        <v>388</v>
      </c>
      <c r="B9" s="11" t="n">
        <f aca="false">IFERROR(COUNTIF(Prospects!K5:K125,"?*")/COUNTIF(Prospects!J5:J125,"?*"),0)</f>
        <v>0</v>
      </c>
    </row>
    <row r="11" customFormat="false" ht="15" hidden="false" customHeight="false" outlineLevel="0" collapsed="false">
      <c r="A11" s="12" t="s">
        <v>389</v>
      </c>
    </row>
    <row r="12" customFormat="false" ht="15" hidden="false" customHeight="false" outlineLevel="0" collapsed="false">
      <c r="A12" s="10" t="s">
        <v>390</v>
      </c>
    </row>
    <row r="13" customFormat="false" ht="15" hidden="false" customHeight="false" outlineLevel="0" collapsed="false">
      <c r="A13" s="10" t="s">
        <v>391</v>
      </c>
    </row>
    <row r="15" customFormat="false" ht="32.8" hidden="false" customHeight="true" outlineLevel="0" collapsed="false">
      <c r="A15" s="13" t="s">
        <v>392</v>
      </c>
      <c r="B15" s="13"/>
      <c r="C15" s="13"/>
      <c r="D15" s="13"/>
    </row>
  </sheetData>
  <mergeCells count="1">
    <mergeCell ref="A15:D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2026-08-06T09:48:51Z</dcterms:created>
  <dc:creator>openpyxl</dc:creator>
  <dc:description/>
  <dc:language>en-US</dc:language>
  <cp:lastModifiedBy/>
  <dcterms:modified xsi:type="dcterms:W3CDTF">2026-08-06T09:48:51Z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